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0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l\Source\Repos\xlladdins\xll_math\"/>
    </mc:Choice>
  </mc:AlternateContent>
  <xr:revisionPtr revIDLastSave="0" documentId="8_{EBE207D9-4185-4097-8F8D-D7022B32343A}" xr6:coauthVersionLast="46" xr6:coauthVersionMax="46" xr10:uidLastSave="{00000000-0000-0000-0000-000000000000}"/>
  <bookViews>
    <workbookView xWindow="-98" yWindow="-98" windowWidth="20715" windowHeight="13875" xr2:uid="{C630C6BE-89F1-4104-A69E-6ACBD7EFF73C}"/>
  </bookViews>
  <sheets>
    <sheet name="XLL_MATH" sheetId="1" r:id="rId1"/>
    <sheet name="MATH.ABS" sheetId="59" r:id="rId2"/>
    <sheet name="MATH.ACOS" sheetId="58" r:id="rId3"/>
    <sheet name="MATH.ACOSH" sheetId="57" r:id="rId4"/>
    <sheet name="MATH.ASIN" sheetId="56" r:id="rId5"/>
    <sheet name="MATH.ASINH" sheetId="55" r:id="rId6"/>
    <sheet name="MATH.ATAN" sheetId="54" r:id="rId7"/>
    <sheet name="MATH.ATANH" sheetId="53" r:id="rId8"/>
    <sheet name="MATH.CBRT" sheetId="52" r:id="rId9"/>
    <sheet name="MATH.CEIL" sheetId="51" r:id="rId10"/>
    <sheet name="MATH.COPYSIGN" sheetId="50" r:id="rId11"/>
    <sheet name="MATH.COS" sheetId="49" r:id="rId12"/>
    <sheet name="MATH.COSH" sheetId="48" r:id="rId13"/>
    <sheet name="MATH.ERF" sheetId="47" r:id="rId14"/>
    <sheet name="MATH.EXP" sheetId="46" r:id="rId15"/>
    <sheet name="MATH.EXP2" sheetId="45" r:id="rId16"/>
    <sheet name="MATH.EXPM1" sheetId="44" r:id="rId17"/>
    <sheet name="MATH.FABS" sheetId="43" r:id="rId18"/>
    <sheet name="MATH.FDIM" sheetId="42" r:id="rId19"/>
    <sheet name="MATH.FLOOR" sheetId="41" r:id="rId20"/>
    <sheet name="MATH.FMA" sheetId="40" r:id="rId21"/>
    <sheet name="MATH.FMAX" sheetId="39" r:id="rId22"/>
    <sheet name="MATH.FMIN" sheetId="38" r:id="rId23"/>
    <sheet name="MATH.FMOD" sheetId="37" r:id="rId24"/>
    <sheet name="MATH.FREXP" sheetId="36" r:id="rId25"/>
    <sheet name="MATH.HYPOT" sheetId="35" r:id="rId26"/>
    <sheet name="MATH.ILOGB" sheetId="34" r:id="rId27"/>
    <sheet name="MATH.LDEXP" sheetId="33" r:id="rId28"/>
    <sheet name="MATH.LGAMMA" sheetId="32" r:id="rId29"/>
    <sheet name="MATH.LOG" sheetId="31" r:id="rId30"/>
    <sheet name="MATH.LOG1P" sheetId="30" r:id="rId31"/>
    <sheet name="MATH.LOG2" sheetId="29" r:id="rId32"/>
    <sheet name="MATH.LOGB" sheetId="28" r:id="rId33"/>
    <sheet name="MATH.MODF" sheetId="27" r:id="rId34"/>
    <sheet name="MATH.NAN" sheetId="26" r:id="rId35"/>
    <sheet name="MATH.NEARBYINT" sheetId="25" r:id="rId36"/>
    <sheet name="MATH.NEXTAFTER" sheetId="24" r:id="rId37"/>
    <sheet name="MATH.POW" sheetId="23" r:id="rId38"/>
    <sheet name="MATH.REMAINDER" sheetId="22" r:id="rId39"/>
    <sheet name="MATH.REMQUO" sheetId="21" r:id="rId40"/>
    <sheet name="MATH.RINT" sheetId="20" r:id="rId41"/>
    <sheet name="MATH.ROUND" sheetId="19" r:id="rId42"/>
    <sheet name="MATH.SCALBN" sheetId="18" r:id="rId43"/>
    <sheet name="MATH.SIN" sheetId="17" r:id="rId44"/>
    <sheet name="MATH.SINH" sheetId="16" r:id="rId45"/>
    <sheet name="MATH.SQRT" sheetId="15" r:id="rId46"/>
    <sheet name="MATH.TAN" sheetId="14" r:id="rId47"/>
    <sheet name="MATH.TANH" sheetId="13" r:id="rId48"/>
    <sheet name="MATH.TGAMMA" sheetId="12" r:id="rId49"/>
    <sheet name="MATH.TRUNC" sheetId="11" r:id="rId50"/>
    <sheet name="MATH._CHGSIGN" sheetId="10" r:id="rId51"/>
    <sheet name="MATH._FPCLASS" sheetId="9" r:id="rId52"/>
    <sheet name="MATH._J0" sheetId="8" r:id="rId53"/>
    <sheet name="MATH._ROTL" sheetId="7" r:id="rId54"/>
    <sheet name="MATH._SCALB" sheetId="6" r:id="rId55"/>
    <sheet name="XLL_ALERT_LEVEL" sheetId="5" r:id="rId56"/>
    <sheet name="DOC" sheetId="4" r:id="rId57"/>
    <sheet name="XLL.PASTE.BASIC" sheetId="3" r:id="rId58"/>
    <sheet name="XLL.PASTE.CREATE" sheetId="2" r:id="rId59"/>
  </sheets>
  <functionGroups builtInGroupCount="19"/>
  <definedNames>
    <definedName name="denom" localSheetId="39">MATH.REMQUO!$C$7</definedName>
    <definedName name="exp" localSheetId="54">MATH._SCALB!$C$7</definedName>
    <definedName name="exp" localSheetId="27">MATH.LDEXP!$C$7</definedName>
    <definedName name="exp" localSheetId="42">MATH.SCALBN!$C$7</definedName>
    <definedName name="expptr" localSheetId="24">MATH.FREXP!$C$7</definedName>
    <definedName name="input" localSheetId="34">MATH.NAN!$C$6</definedName>
    <definedName name="intptr" localSheetId="33">MATH.MODF!$C$7</definedName>
    <definedName name="level" localSheetId="55">XLL_ALERT_LEVEL!$C$6</definedName>
    <definedName name="n" localSheetId="1">MATH.ABS!$C$6</definedName>
    <definedName name="numer" localSheetId="39">MATH.REMQUO!$C$6</definedName>
    <definedName name="quo" localSheetId="39">MATH.REMQUO!$C$8</definedName>
    <definedName name="shift" localSheetId="53">MATH._ROTL!$C$7</definedName>
    <definedName name="value" localSheetId="53">MATH._ROTL!$C$6</definedName>
    <definedName name="x" localSheetId="50">MATH._CHGSIGN!$C$6</definedName>
    <definedName name="x" localSheetId="51">MATH._FPCLASS!$C$6</definedName>
    <definedName name="x" localSheetId="52">MATH._J0!$C$6</definedName>
    <definedName name="x" localSheetId="54">MATH._SCALB!$C$6</definedName>
    <definedName name="x" localSheetId="2">MATH.ACOS!$C$6</definedName>
    <definedName name="x" localSheetId="3">MATH.ACOSH!$C$6</definedName>
    <definedName name="x" localSheetId="4">MATH.ASIN!$C$6</definedName>
    <definedName name="x" localSheetId="5">MATH.ASINH!$C$6</definedName>
    <definedName name="x" localSheetId="6">MATH.ATAN!$C$6</definedName>
    <definedName name="x" localSheetId="7">MATH.ATANH!$C$6</definedName>
    <definedName name="x" localSheetId="8">MATH.CBRT!$C$6</definedName>
    <definedName name="x" localSheetId="9">MATH.CEIL!$C$6</definedName>
    <definedName name="x" localSheetId="10">MATH.COPYSIGN!$C$6</definedName>
    <definedName name="x" localSheetId="11">MATH.COS!$C$6</definedName>
    <definedName name="x" localSheetId="12">MATH.COSH!$C$6</definedName>
    <definedName name="x" localSheetId="13">MATH.ERF!$C$6</definedName>
    <definedName name="x" localSheetId="14">MATH.EXP!$C$6</definedName>
    <definedName name="x" localSheetId="15">MATH.EXP2!$C$6</definedName>
    <definedName name="x" localSheetId="16">MATH.EXPM1!$C$6</definedName>
    <definedName name="x" localSheetId="17">MATH.FABS!$C$6</definedName>
    <definedName name="x" localSheetId="18">MATH.FDIM!$C$6</definedName>
    <definedName name="x" localSheetId="19">MATH.FLOOR!$C$6</definedName>
    <definedName name="x" localSheetId="20">MATH.FMA!$C$6</definedName>
    <definedName name="x" localSheetId="21">MATH.FMAX!$C$6</definedName>
    <definedName name="x" localSheetId="22">MATH.FMIN!$C$6</definedName>
    <definedName name="x" localSheetId="23">MATH.FMOD!$C$6</definedName>
    <definedName name="x" localSheetId="24">MATH.FREXP!$C$6</definedName>
    <definedName name="x" localSheetId="25">MATH.HYPOT!$C$6</definedName>
    <definedName name="x" localSheetId="26">MATH.ILOGB!$C$6</definedName>
    <definedName name="x" localSheetId="27">MATH.LDEXP!$C$6</definedName>
    <definedName name="x" localSheetId="28">MATH.LGAMMA!$C$6</definedName>
    <definedName name="x" localSheetId="29">MATH.LOG!$C$6</definedName>
    <definedName name="x" localSheetId="30">MATH.LOG1P!$C$6</definedName>
    <definedName name="x" localSheetId="31">MATH.LOG2!$C$6</definedName>
    <definedName name="x" localSheetId="32">MATH.LOGB!$C$6</definedName>
    <definedName name="x" localSheetId="33">MATH.MODF!$C$6</definedName>
    <definedName name="x" localSheetId="35">MATH.NEARBYINT!$C$6</definedName>
    <definedName name="x" localSheetId="36">MATH.NEXTAFTER!$C$6</definedName>
    <definedName name="x" localSheetId="37">MATH.POW!$C$6</definedName>
    <definedName name="x" localSheetId="38">MATH.REMAINDER!$C$6</definedName>
    <definedName name="x" localSheetId="40">MATH.RINT!$C$6</definedName>
    <definedName name="x" localSheetId="41">MATH.ROUND!$C$6</definedName>
    <definedName name="x" localSheetId="42">MATH.SCALBN!$C$6</definedName>
    <definedName name="x" localSheetId="43">MATH.SIN!$C$6</definedName>
    <definedName name="x" localSheetId="44">MATH.SINH!$C$6</definedName>
    <definedName name="x" localSheetId="45">MATH.SQRT!$C$6</definedName>
    <definedName name="x" localSheetId="46">MATH.TAN!$C$6</definedName>
    <definedName name="x" localSheetId="47">MATH.TANH!$C$6</definedName>
    <definedName name="x" localSheetId="48">MATH.TGAMMA!$C$6</definedName>
    <definedName name="x" localSheetId="49">MATH.TRUNC!$C$6</definedName>
    <definedName name="y" localSheetId="10">MATH.COPYSIGN!$C$7</definedName>
    <definedName name="y" localSheetId="18">MATH.FDIM!$C$7</definedName>
    <definedName name="y" localSheetId="20">MATH.FMA!$C$7</definedName>
    <definedName name="y" localSheetId="21">MATH.FMAX!$C$7</definedName>
    <definedName name="y" localSheetId="22">MATH.FMIN!$C$7</definedName>
    <definedName name="y" localSheetId="23">MATH.FMOD!$C$7</definedName>
    <definedName name="y" localSheetId="25">MATH.HYPOT!$C$7</definedName>
    <definedName name="y" localSheetId="36">MATH.NEXTAFTER!$C$7</definedName>
    <definedName name="y" localSheetId="37">MATH.POW!$C$7</definedName>
    <definedName name="y" localSheetId="38">MATH.REMAINDER!$C$7</definedName>
    <definedName name="z" localSheetId="20">MATH.FMA!$C$8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/>
  <c r="C5" i="59" a="1"/>
  <c r="C5" i="58" a="1"/>
  <c r="C5" i="57" a="1"/>
  <c r="C5" i="56" a="1"/>
  <c r="C5" i="55" a="1"/>
  <c r="C5" i="54" a="1"/>
  <c r="C5" i="53" a="1"/>
  <c r="C5" i="52" a="1"/>
  <c r="C5" i="51" a="1"/>
  <c r="C5" i="50" a="1"/>
  <c r="C5" i="49" a="1"/>
  <c r="C5" i="48" a="1"/>
  <c r="C5" i="47" a="1"/>
  <c r="C5" i="46" a="1"/>
  <c r="C5" i="45" a="1"/>
  <c r="C5" i="44" a="1"/>
  <c r="C5" i="43" a="1"/>
  <c r="C5" i="42" a="1"/>
  <c r="C5" i="41" a="1"/>
  <c r="C5" i="40" a="1"/>
  <c r="C5" i="39" a="1"/>
  <c r="C5" i="38" a="1"/>
  <c r="C5" i="37" a="1"/>
  <c r="C5" i="36" a="1"/>
  <c r="C5" i="35" a="1"/>
  <c r="C5" i="34" a="1"/>
  <c r="C5" i="33" a="1"/>
  <c r="C5" i="32" a="1"/>
  <c r="C5" i="31" a="1"/>
  <c r="C5" i="30" a="1"/>
  <c r="C5" i="29" a="1"/>
  <c r="C5" i="28" a="1"/>
  <c r="C5" i="27" a="1"/>
  <c r="C5" i="26" a="1"/>
  <c r="C5" i="25" a="1"/>
  <c r="C5" i="24" a="1"/>
  <c r="C5" i="23" a="1"/>
  <c r="C5" i="22" a="1"/>
  <c r="C5" i="21" a="1"/>
  <c r="C5" i="20" a="1"/>
  <c r="C5" i="19" a="1"/>
  <c r="C5" i="18" a="1"/>
  <c r="C5" i="17" a="1"/>
  <c r="C5" i="16" a="1"/>
  <c r="C5" i="15" a="1"/>
  <c r="C5" i="14" a="1"/>
  <c r="C5" i="13" a="1"/>
  <c r="C5" i="12" a="1"/>
  <c r="C5" i="11" a="1"/>
  <c r="C5" i="10" a="1"/>
  <c r="C5" i="9" a="1"/>
  <c r="C5" i="8" a="1"/>
  <c r="C5" i="7" a="1"/>
  <c r="C5" i="6" a="1"/>
  <c r="C5" i="5" a="1"/>
  <c r="C5" i="59" l="1"/>
  <c r="C5" i="58"/>
  <c r="C5" i="57"/>
  <c r="C5" i="56"/>
  <c r="C5" i="55"/>
  <c r="C5" i="54"/>
  <c r="C5" i="53"/>
  <c r="C5" i="52"/>
  <c r="C5" i="51"/>
  <c r="C5" i="50"/>
  <c r="C5" i="49"/>
  <c r="C5" i="48"/>
  <c r="C5" i="47"/>
  <c r="C5" i="46"/>
  <c r="C5" i="45"/>
  <c r="C5" i="44"/>
  <c r="C5" i="43"/>
  <c r="C5" i="42"/>
  <c r="C5" i="41"/>
  <c r="C5" i="40"/>
  <c r="C5" i="39"/>
  <c r="C5" i="38"/>
  <c r="C5" i="37"/>
  <c r="C5" i="36"/>
  <c r="C5" i="35"/>
  <c r="C5" i="34"/>
  <c r="C5" i="33"/>
  <c r="C5" i="32"/>
  <c r="C5" i="31"/>
  <c r="C5" i="30"/>
  <c r="C5" i="29"/>
  <c r="C5" i="28"/>
  <c r="C5" i="27"/>
  <c r="C5" i="26"/>
  <c r="C5" i="25"/>
  <c r="C5" i="24"/>
  <c r="C5" i="23"/>
  <c r="C5" i="22"/>
  <c r="C5" i="21"/>
  <c r="C5" i="20"/>
  <c r="C5" i="19"/>
  <c r="C5" i="18"/>
  <c r="C5" i="17"/>
  <c r="C5" i="16"/>
  <c r="C5" i="15"/>
  <c r="C5" i="14"/>
  <c r="C5" i="13"/>
  <c r="C5" i="12"/>
  <c r="C5" i="11"/>
  <c r="C5" i="10"/>
  <c r="C5" i="9"/>
  <c r="C5" i="8"/>
  <c r="C5" i="7"/>
  <c r="C5" i="6"/>
  <c r="C5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<sst xmlns="http://schemas.openxmlformats.org/spreadsheetml/2006/main" count="445" uniqueCount="242">
  <si>
    <t>XLL.PASTE.CREATE macro</t>
  </si>
  <si>
    <t>Paste a function and create named ranges for arguments. Shortcut Ctrl-Shift-C</t>
  </si>
  <si>
    <t>XLL.PASTE.CREATE</t>
  </si>
  <si>
    <t>XLL.PASTE.BASIC macro</t>
  </si>
  <si>
    <t>Paste a function with default arguments. Shortcut Ctrl-Shift-B.</t>
  </si>
  <si>
    <t>XLL.PASTE.BASIC</t>
  </si>
  <si>
    <t>DOC macro</t>
  </si>
  <si>
    <t>DOC</t>
  </si>
  <si>
    <t>XLL_ALERT_LEVEL function</t>
  </si>
  <si>
    <t>Set the current alert level using a mask having bits for ERROR(1), WARNING(2), and INFORMATION(4).</t>
  </si>
  <si>
    <t>XLL_ALERT_LEVEL</t>
  </si>
  <si>
    <t>level</t>
  </si>
  <si>
    <t>is the alert level mask to set.</t>
  </si>
  <si>
    <t>MATH._SCALB function</t>
  </si>
  <si>
    <t>Scales argument by a power of 2.</t>
  </si>
  <si>
    <t>MATH._SCALB</t>
  </si>
  <si>
    <t>x</t>
  </si>
  <si>
    <t>Double-precision, floating-point value.</t>
  </si>
  <si>
    <t>exp</t>
  </si>
  <si>
    <t>Long integer exponent.</t>
  </si>
  <si>
    <t>MATH._ROTL function</t>
  </si>
  <si>
    <t>Rotates bits to the left (_rotl) or right (_rotr).</t>
  </si>
  <si>
    <t>MATH._ROTL</t>
  </si>
  <si>
    <t>value</t>
  </si>
  <si>
    <t>Value to be rotated.</t>
  </si>
  <si>
    <t>shift</t>
  </si>
  <si>
    <t>Number of bits to shift.</t>
  </si>
  <si>
    <t>MATH._J0 function</t>
  </si>
  <si>
    <t>Computes the Bessel function of the first or second kind, of orders 0, 1, or n. The Bessel functions are commonly used in the mathematics of electromagnetic wave theory.</t>
  </si>
  <si>
    <t>MATH._J0</t>
  </si>
  <si>
    <t>Floating-point value.</t>
  </si>
  <si>
    <t>MATH._FPCLASS function</t>
  </si>
  <si>
    <t>Returns a value indicating the floating-point classification of the argument.</t>
  </si>
  <si>
    <t>MATH._FPCLASS</t>
  </si>
  <si>
    <t>The floating-point value to test.</t>
  </si>
  <si>
    <t>MATH._CHGSIGN function</t>
  </si>
  <si>
    <t>Reverses the sign of a floating-point argument.</t>
  </si>
  <si>
    <t>MATH._CHGSIGN</t>
  </si>
  <si>
    <t>The floating-point value to be changed.</t>
  </si>
  <si>
    <t>MATH.TRUNC function</t>
  </si>
  <si>
    <t>Determines the nearest integer that is less than or equal to the specified floating-point value.</t>
  </si>
  <si>
    <t>MATH.TRUNC</t>
  </si>
  <si>
    <t>The value to truncate.</t>
  </si>
  <si>
    <t>MATH.TGAMMA function</t>
  </si>
  <si>
    <t>Determines the gamma function of the specified value.</t>
  </si>
  <si>
    <t>MATH.TGAMMA</t>
  </si>
  <si>
    <t>The value to find the gamma of.</t>
  </si>
  <si>
    <t>MATH.TANH function</t>
  </si>
  <si>
    <t>Calculates the hyperbolic tangent.</t>
  </si>
  <si>
    <t>MATH.TANH</t>
  </si>
  <si>
    <t>Angle in radians.</t>
  </si>
  <si>
    <t>MATH.TAN function</t>
  </si>
  <si>
    <t>Calculates the tangent.</t>
  </si>
  <si>
    <t>MATH.TAN</t>
  </si>
  <si>
    <t>MATH.SQRT function</t>
  </si>
  <si>
    <t>Calculates the square root.</t>
  </si>
  <si>
    <t>MATH.SQRT</t>
  </si>
  <si>
    <t>Non-negative floating-point value</t>
  </si>
  <si>
    <t>MATH.SINH function</t>
  </si>
  <si>
    <t>Calculates the hyperbolic sine.</t>
  </si>
  <si>
    <t>MATH.SINH</t>
  </si>
  <si>
    <t>MATH.SIN function</t>
  </si>
  <si>
    <t>Calculates the sine of a floating-point value.</t>
  </si>
  <si>
    <t>MATH.SIN</t>
  </si>
  <si>
    <t>MATH.SCALBN function</t>
  </si>
  <si>
    <t>Multiplies a floating-point number by an integral power of FLT_RADIX.</t>
  </si>
  <si>
    <t>MATH.SCALBN</t>
  </si>
  <si>
    <t>Integer exponent.</t>
  </si>
  <si>
    <t>MATH.ROUND function</t>
  </si>
  <si>
    <t>Rounds a floating-point value to the nearest integer value.</t>
  </si>
  <si>
    <t>MATH.ROUND</t>
  </si>
  <si>
    <t>The floating-point value to round.</t>
  </si>
  <si>
    <t>MATH.RINT function</t>
  </si>
  <si>
    <t>Rounds a floating-point value to the nearest integer in floating-point format.</t>
  </si>
  <si>
    <t>MATH.RINT</t>
  </si>
  <si>
    <t>MATH.REMQUO function</t>
  </si>
  <si>
    <t>Computes the remainder of two integer values, and stores an integer value with the sign and approximate magnitude of the quotient in a location that's specified in a parameter.</t>
  </si>
  <si>
    <t>MATH.REMQUO</t>
  </si>
  <si>
    <t>numer</t>
  </si>
  <si>
    <t>The numerator.</t>
  </si>
  <si>
    <t>denom</t>
  </si>
  <si>
    <t>The denominator.</t>
  </si>
  <si>
    <t>quo</t>
  </si>
  <si>
    <t>A pointer to an integer to store a value that has the sign and approximate magnitude of the quotient.</t>
  </si>
  <si>
    <t>MATH.REMAINDER function</t>
  </si>
  <si>
    <t>Computes the remainder of the quotient of two floating-point values, rounded to the nearest integral value.</t>
  </si>
  <si>
    <t>MATH.REMAINDER</t>
  </si>
  <si>
    <t>y</t>
  </si>
  <si>
    <t>MATH.POW function</t>
  </si>
  <si>
    <t>Calculates x raised to the power of y.</t>
  </si>
  <si>
    <t>MATH.POW</t>
  </si>
  <si>
    <t>Base.</t>
  </si>
  <si>
    <t>Exponent.</t>
  </si>
  <si>
    <t>MATH.NEXTAFTER function</t>
  </si>
  <si>
    <t>Returns the next representable floating-point value.</t>
  </si>
  <si>
    <t>MATH.NEXTAFTER</t>
  </si>
  <si>
    <t>The floating-point value to start from.</t>
  </si>
  <si>
    <t>The floating-point value to go towards.</t>
  </si>
  <si>
    <t>MATH.NEARBYINT function</t>
  </si>
  <si>
    <t>Rounds the specified floating-point value to an integer, and returns that value in a floating-point format.</t>
  </si>
  <si>
    <t>MATH.NEARBYINT</t>
  </si>
  <si>
    <t>The value to round.</t>
  </si>
  <si>
    <t>MATH.NAN function</t>
  </si>
  <si>
    <t>Returns a quiet NaN value.</t>
  </si>
  <si>
    <t>MATH.NAN</t>
  </si>
  <si>
    <t>input</t>
  </si>
  <si>
    <t>A string value.</t>
  </si>
  <si>
    <t>MATH.MODF function</t>
  </si>
  <si>
    <t>Splits a floating-point value into fractional and integer parts.</t>
  </si>
  <si>
    <t>MATH.MODF</t>
  </si>
  <si>
    <t>intptr</t>
  </si>
  <si>
    <t>Pointer to stored integer portion.</t>
  </si>
  <si>
    <t>MATH.LOGB function</t>
  </si>
  <si>
    <t>Extracts the exponent value of a floating-point argument.</t>
  </si>
  <si>
    <t>MATH.LOGB</t>
  </si>
  <si>
    <t>A floating-point value.</t>
  </si>
  <si>
    <t>MATH.LOG2 function</t>
  </si>
  <si>
    <t>Determines the binary (base-2) logarithm of the specified value.</t>
  </si>
  <si>
    <t>MATH.LOG2</t>
  </si>
  <si>
    <t>The value to determine the base-2 logarithm of.</t>
  </si>
  <si>
    <t>MATH.LOG1P function</t>
  </si>
  <si>
    <t>Computes the natural logarithm of 1 plus the specified value.</t>
  </si>
  <si>
    <t>MATH.LOG1P</t>
  </si>
  <si>
    <t>The floating-point argument.</t>
  </si>
  <si>
    <t>MATH.LOG function</t>
  </si>
  <si>
    <t>Calculates logarithms.</t>
  </si>
  <si>
    <t>MATH.LOG</t>
  </si>
  <si>
    <t>Value whose logarithm is to be found.</t>
  </si>
  <si>
    <t>MATH.LGAMMA function</t>
  </si>
  <si>
    <t>Determines the natural logarithm of the absolute value of the gamma function of the specified value.</t>
  </si>
  <si>
    <t>MATH.LGAMMA</t>
  </si>
  <si>
    <t>The value to compute.</t>
  </si>
  <si>
    <t>MATH.LDEXP function</t>
  </si>
  <si>
    <t>Multiplies a floating-point number by an integral power of two.</t>
  </si>
  <si>
    <t>MATH.LDEXP</t>
  </si>
  <si>
    <t>MATH.ILOGB function</t>
  </si>
  <si>
    <t>Retrieves an integer that represents the unbiased base-2 exponent of the specified value.</t>
  </si>
  <si>
    <t>MATH.ILOGB</t>
  </si>
  <si>
    <t>The specified value.</t>
  </si>
  <si>
    <t>MATH.HYPOT function</t>
  </si>
  <si>
    <t>Calculates the hypotenuse.</t>
  </si>
  <si>
    <t>MATH.HYPOT</t>
  </si>
  <si>
    <t>Floating-point values.</t>
  </si>
  <si>
    <t>MATH.FREXP function</t>
  </si>
  <si>
    <t>Gets the mantissa and exponent of a floating-point number.</t>
  </si>
  <si>
    <t>MATH.FREXP</t>
  </si>
  <si>
    <t>expptr</t>
  </si>
  <si>
    <t>Pointer to stored integer exponent.</t>
  </si>
  <si>
    <t>MATH.FMOD function</t>
  </si>
  <si>
    <t>Calculates the floating-point remainder.</t>
  </si>
  <si>
    <t>MATH.FMOD</t>
  </si>
  <si>
    <t>MATH.FMIN function</t>
  </si>
  <si>
    <t>Determines the smaller of the two specified values.</t>
  </si>
  <si>
    <t>MATH.FMIN</t>
  </si>
  <si>
    <t>The first value to compare.</t>
  </si>
  <si>
    <t>The second value to compare.</t>
  </si>
  <si>
    <t>MATH.FMAX function</t>
  </si>
  <si>
    <t>Determine the larger of two specified numeric values.</t>
  </si>
  <si>
    <t>MATH.FMAX</t>
  </si>
  <si>
    <t>MATH.FMA function</t>
  </si>
  <si>
    <t>Multiplies two values together, adds a third value, and then rounds the result, without losing any precision due to intermediary rounding.</t>
  </si>
  <si>
    <t>MATH.FMA</t>
  </si>
  <si>
    <t>The first value to multiply.</t>
  </si>
  <si>
    <t>The second value to multiply.</t>
  </si>
  <si>
    <t>z</t>
  </si>
  <si>
    <t>The value to add.</t>
  </si>
  <si>
    <t>MATH.FLOOR function</t>
  </si>
  <si>
    <t>Calculates the floor of a value.</t>
  </si>
  <si>
    <t>MATH.FLOOR</t>
  </si>
  <si>
    <t>MATH.FDIM function</t>
  </si>
  <si>
    <t>Determines the positive difference between the first and second values.</t>
  </si>
  <si>
    <t>MATH.FDIM</t>
  </si>
  <si>
    <t>The first value.</t>
  </si>
  <si>
    <t>The second value.</t>
  </si>
  <si>
    <t>MATH.FABS function</t>
  </si>
  <si>
    <t>Calculates the absolute value of the floating-point argument.</t>
  </si>
  <si>
    <t>MATH.FABS</t>
  </si>
  <si>
    <t>MATH.EXPM1 function</t>
  </si>
  <si>
    <t>Computes the base-e exponential of a value, minus one.</t>
  </si>
  <si>
    <t>MATH.EXPM1</t>
  </si>
  <si>
    <t>The floating-point exponential value.</t>
  </si>
  <si>
    <t>MATH.EXP2 function</t>
  </si>
  <si>
    <t>Computes 2 raised to the specified value.</t>
  </si>
  <si>
    <t>MATH.EXP2</t>
  </si>
  <si>
    <t>The value of the exponent.</t>
  </si>
  <si>
    <t>MATH.EXP function</t>
  </si>
  <si>
    <t>Calculates the exponential.</t>
  </si>
  <si>
    <t>MATH.EXP</t>
  </si>
  <si>
    <t>The floating-point value to exponentiate the natural logarithm base</t>
  </si>
  <si>
    <t>MATH.ERF function</t>
  </si>
  <si>
    <t>Computes the error function or the complementary error function of a value.</t>
  </si>
  <si>
    <t>MATH.ERF</t>
  </si>
  <si>
    <t>MATH.COSH function</t>
  </si>
  <si>
    <t>Calculates the hyperbolic cosine.</t>
  </si>
  <si>
    <t>MATH.COSH</t>
  </si>
  <si>
    <t>MATH.COS function</t>
  </si>
  <si>
    <t>Calculates the cosine.</t>
  </si>
  <si>
    <t>MATH.COS</t>
  </si>
  <si>
    <t>MATH.COPYSIGN function</t>
  </si>
  <si>
    <t>Returns a value that has the magnitude of one argument and the sign of another.</t>
  </si>
  <si>
    <t>MATH.COPYSIGN</t>
  </si>
  <si>
    <t>The floating-point value that's returned as the magnitude of the result.</t>
  </si>
  <si>
    <t>The floating-point value that's returned as the sign of the result.</t>
  </si>
  <si>
    <t>MATH.CEIL function</t>
  </si>
  <si>
    <t>Calculates the ceiling of a value.</t>
  </si>
  <si>
    <t>MATH.CEIL</t>
  </si>
  <si>
    <t>MATH.CBRT function</t>
  </si>
  <si>
    <t>Calculates the cube root.</t>
  </si>
  <si>
    <t>MATH.CBRT</t>
  </si>
  <si>
    <t>Floating-point value</t>
  </si>
  <si>
    <t>MATH.ATANH function</t>
  </si>
  <si>
    <t>Calculates the inverse hyperbolic tangent.</t>
  </si>
  <si>
    <t>MATH.ATANH</t>
  </si>
  <si>
    <t>MATH.ATAN function</t>
  </si>
  <si>
    <t>Calculates the arctangent of x (atan, atanf, and atanl) or the arctangent of y/x (atan2, atan2f, and atan2l).</t>
  </si>
  <si>
    <t>MATH.ATAN</t>
  </si>
  <si>
    <t>Any numbers.</t>
  </si>
  <si>
    <t>MATH.ASINH function</t>
  </si>
  <si>
    <t>Calculates the inverse hyperbolic sine.</t>
  </si>
  <si>
    <t>MATH.ASINH</t>
  </si>
  <si>
    <t>MATH.ASIN function</t>
  </si>
  <si>
    <t>Calculates the arcsine.</t>
  </si>
  <si>
    <t>MATH.ASIN</t>
  </si>
  <si>
    <t>Value whose arcsine is to be calculated.</t>
  </si>
  <si>
    <t>MATH.ACOSH function</t>
  </si>
  <si>
    <t>Calculates the inverse hyperbolic cosine.</t>
  </si>
  <si>
    <t>MATH.ACOSH</t>
  </si>
  <si>
    <t>MATH.ACOS function</t>
  </si>
  <si>
    <t>Calculates the arccosine.</t>
  </si>
  <si>
    <t>MATH.ACOS</t>
  </si>
  <si>
    <t>Value between -1 and 1, for which to calculate the arccosine (the inverse cosine).</t>
  </si>
  <si>
    <t>MATH.ABS function</t>
  </si>
  <si>
    <t>Calculates the absolute value of the argument.</t>
  </si>
  <si>
    <t>MATH.ABS</t>
  </si>
  <si>
    <t>n</t>
  </si>
  <si>
    <t>Numeric value.</t>
  </si>
  <si>
    <t>All functions and macros having documentation.</t>
  </si>
  <si>
    <t>Category MATH</t>
  </si>
  <si>
    <t>Function</t>
  </si>
  <si>
    <t>Description</t>
  </si>
  <si>
    <t>Category XLL</t>
  </si>
  <si>
    <t>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</si>
</sst>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62"/>
      </patternFill>
    </fill>
    <fill>
      <patternFill patternType="solid">
        <fgColor indexed="61"/>
      </patternFill>
    </fill>
    <fill>
      <patternFill patternType="solid">
        <fgColor indexed="6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0" fillId="0" borderId="0" xfId="0" applyAlignment="1">
      <alignment horizontal="right"/>
    </xf>
    <xf numFmtId="0" fontId="2" fillId="2" borderId="0" xfId="0" applyFont="1" applyFill="1" applyAlignment="1">
      <alignment horizontal="right"/>
    </xf>
    <xf numFmtId="0" fontId="4" fillId="0" borderId="0" xfId="0" applyFont="1"/>
    <xf numFmtId="0" fontId="3" fillId="3" borderId="0" xfId="0" applyFont="1" applyFill="1" applyAlignment="1">
      <alignment horizontal="right" vertical="center"/>
    </xf>
    <xf numFmtId="0" fontId="3" fillId="3" borderId="0" xfId="0" applyFont="1" applyFill="1" applyAlignment="1">
      <alignment horizontal="left" vertical="center"/>
    </xf>
    <xf numFmtId="0" fontId="1" fillId="0" borderId="0" xfId="0" applyFont="1" applyAlignment="1">
      <alignment horizontal="right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318BCE"/>
      <rgbColor rgb="0000D1B1"/>
      <rgbColor rgb="00F0F0F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AAEA-27F5-4C1D-8DE5-80944F7FCCAB}">
  <sheetPr codeName="Sheet1"/>
  <dimension ref="B1:C68"/>
  <sheetViews>
    <sheetView showGridLines="0" tabSelected="1" workbookViewId="0">
      <selection activeCell="B2" sqref="B2"/>
    </sheetView>
  </sheetViews>
  <sheetFormatPr defaultRowHeight="14.25" x14ac:dyDescent="0.45"/>
  <cols>
    <col min="3" max="3" width="142.3984375" bestFit="1" customWidth="1"/>
  </cols>
  <sheetData>
    <row r="1" spans="2:3" s="1" customFormat="1" x14ac:dyDescent="0.45"/>
    <row r="2" spans="2:3" s="2" customFormat="1" ht="24" customHeight="1" x14ac:dyDescent="0.55000000000000004">
      <c r="B2" s="5" t="str">
        <f>HYPERLINK("https://xlladdins.com/addins/xll_math &amp; WinXX() &amp; .xll", "XLL_MATH")</f>
        <v>XLL_MATH</v>
      </c>
      <c r="C2" s="2" t="s">
        <v>236</v>
      </c>
    </row>
    <row r="3" spans="2:3" s="1" customFormat="1" x14ac:dyDescent="0.45"/>
    <row r="5" spans="2:3" ht="20" customHeight="1" x14ac:dyDescent="0.55000000000000004">
      <c r="B5" s="6" t="s">
        <v>237</v>
      </c>
    </row>
    <row r="6" spans="2:3" ht="17.55" customHeight="1" x14ac:dyDescent="0.45">
      <c r="B6" s="7" t="s">
        <v>238</v>
      </c>
      <c r="C6" s="8" t="s">
        <v>239</v>
      </c>
    </row>
    <row r="7" spans="2:3" ht="15" customHeight="1" x14ac:dyDescent="0.45">
      <c r="B7" s="9" t="s">
        <v>233</v>
      </c>
      <c r="C7" t="s">
        <v>232</v>
      </c>
    </row>
    <row r="8" spans="2:3" ht="15" customHeight="1" x14ac:dyDescent="0.45">
      <c r="B8" s="9" t="s">
        <v>229</v>
      </c>
      <c r="C8" s="10" t="s">
        <v>228</v>
      </c>
    </row>
    <row r="9" spans="2:3" ht="15" customHeight="1" x14ac:dyDescent="0.45">
      <c r="B9" s="9" t="s">
        <v>226</v>
      </c>
      <c r="C9" t="s">
        <v>225</v>
      </c>
    </row>
    <row r="10" spans="2:3" ht="15" customHeight="1" x14ac:dyDescent="0.45">
      <c r="B10" s="9" t="s">
        <v>222</v>
      </c>
      <c r="C10" s="10" t="s">
        <v>221</v>
      </c>
    </row>
    <row r="11" spans="2:3" ht="15" customHeight="1" x14ac:dyDescent="0.45">
      <c r="B11" s="9" t="s">
        <v>219</v>
      </c>
      <c r="C11" t="s">
        <v>218</v>
      </c>
    </row>
    <row r="12" spans="2:3" ht="15" customHeight="1" x14ac:dyDescent="0.45">
      <c r="B12" s="9" t="s">
        <v>215</v>
      </c>
      <c r="C12" s="10" t="s">
        <v>214</v>
      </c>
    </row>
    <row r="13" spans="2:3" ht="15" customHeight="1" x14ac:dyDescent="0.45">
      <c r="B13" s="9" t="s">
        <v>212</v>
      </c>
      <c r="C13" t="s">
        <v>211</v>
      </c>
    </row>
    <row r="14" spans="2:3" ht="15" customHeight="1" x14ac:dyDescent="0.45">
      <c r="B14" s="9" t="s">
        <v>208</v>
      </c>
      <c r="C14" s="10" t="s">
        <v>207</v>
      </c>
    </row>
    <row r="15" spans="2:3" ht="15" customHeight="1" x14ac:dyDescent="0.45">
      <c r="B15" s="9" t="s">
        <v>205</v>
      </c>
      <c r="C15" t="s">
        <v>204</v>
      </c>
    </row>
    <row r="16" spans="2:3" ht="15" customHeight="1" x14ac:dyDescent="0.45">
      <c r="B16" s="9" t="s">
        <v>200</v>
      </c>
      <c r="C16" s="10" t="s">
        <v>199</v>
      </c>
    </row>
    <row r="17" spans="2:3" ht="15" customHeight="1" x14ac:dyDescent="0.45">
      <c r="B17" s="9" t="s">
        <v>197</v>
      </c>
      <c r="C17" t="s">
        <v>196</v>
      </c>
    </row>
    <row r="18" spans="2:3" ht="15" customHeight="1" x14ac:dyDescent="0.45">
      <c r="B18" s="9" t="s">
        <v>194</v>
      </c>
      <c r="C18" s="10" t="s">
        <v>193</v>
      </c>
    </row>
    <row r="19" spans="2:3" ht="15" customHeight="1" x14ac:dyDescent="0.45">
      <c r="B19" s="9" t="s">
        <v>191</v>
      </c>
      <c r="C19" t="s">
        <v>190</v>
      </c>
    </row>
    <row r="20" spans="2:3" ht="15" customHeight="1" x14ac:dyDescent="0.45">
      <c r="B20" s="9" t="s">
        <v>187</v>
      </c>
      <c r="C20" s="10" t="s">
        <v>186</v>
      </c>
    </row>
    <row r="21" spans="2:3" ht="15" customHeight="1" x14ac:dyDescent="0.45">
      <c r="B21" s="9" t="s">
        <v>183</v>
      </c>
      <c r="C21" t="s">
        <v>182</v>
      </c>
    </row>
    <row r="22" spans="2:3" ht="15" customHeight="1" x14ac:dyDescent="0.45">
      <c r="B22" s="9" t="s">
        <v>179</v>
      </c>
      <c r="C22" s="10" t="s">
        <v>178</v>
      </c>
    </row>
    <row r="23" spans="2:3" ht="15" customHeight="1" x14ac:dyDescent="0.45">
      <c r="B23" s="9" t="s">
        <v>176</v>
      </c>
      <c r="C23" t="s">
        <v>175</v>
      </c>
    </row>
    <row r="24" spans="2:3" ht="15" customHeight="1" x14ac:dyDescent="0.45">
      <c r="B24" s="9" t="s">
        <v>171</v>
      </c>
      <c r="C24" s="10" t="s">
        <v>170</v>
      </c>
    </row>
    <row r="25" spans="2:3" ht="15" customHeight="1" x14ac:dyDescent="0.45">
      <c r="B25" s="9" t="s">
        <v>168</v>
      </c>
      <c r="C25" t="s">
        <v>167</v>
      </c>
    </row>
    <row r="26" spans="2:3" ht="15" customHeight="1" x14ac:dyDescent="0.45">
      <c r="B26" s="9" t="s">
        <v>161</v>
      </c>
      <c r="C26" s="10" t="s">
        <v>160</v>
      </c>
    </row>
    <row r="27" spans="2:3" ht="15" customHeight="1" x14ac:dyDescent="0.45">
      <c r="B27" s="9" t="s">
        <v>158</v>
      </c>
      <c r="C27" t="s">
        <v>157</v>
      </c>
    </row>
    <row r="28" spans="2:3" ht="15" customHeight="1" x14ac:dyDescent="0.45">
      <c r="B28" s="9" t="s">
        <v>153</v>
      </c>
      <c r="C28" s="10" t="s">
        <v>152</v>
      </c>
    </row>
    <row r="29" spans="2:3" ht="15" customHeight="1" x14ac:dyDescent="0.45">
      <c r="B29" s="9" t="s">
        <v>150</v>
      </c>
      <c r="C29" t="s">
        <v>149</v>
      </c>
    </row>
    <row r="30" spans="2:3" ht="15" customHeight="1" x14ac:dyDescent="0.45">
      <c r="B30" s="9" t="s">
        <v>145</v>
      </c>
      <c r="C30" s="10" t="s">
        <v>144</v>
      </c>
    </row>
    <row r="31" spans="2:3" ht="15" customHeight="1" x14ac:dyDescent="0.45">
      <c r="B31" s="9" t="s">
        <v>141</v>
      </c>
      <c r="C31" t="s">
        <v>140</v>
      </c>
    </row>
    <row r="32" spans="2:3" ht="15" customHeight="1" x14ac:dyDescent="0.45">
      <c r="B32" s="9" t="s">
        <v>137</v>
      </c>
      <c r="C32" s="10" t="s">
        <v>136</v>
      </c>
    </row>
    <row r="33" spans="2:3" ht="15" customHeight="1" x14ac:dyDescent="0.45">
      <c r="B33" s="9" t="s">
        <v>134</v>
      </c>
      <c r="C33" t="s">
        <v>133</v>
      </c>
    </row>
    <row r="34" spans="2:3" ht="15" customHeight="1" x14ac:dyDescent="0.45">
      <c r="B34" s="9" t="s">
        <v>130</v>
      </c>
      <c r="C34" s="10" t="s">
        <v>129</v>
      </c>
    </row>
    <row r="35" spans="2:3" ht="15" customHeight="1" x14ac:dyDescent="0.45">
      <c r="B35" s="9" t="s">
        <v>126</v>
      </c>
      <c r="C35" t="s">
        <v>125</v>
      </c>
    </row>
    <row r="36" spans="2:3" ht="15" customHeight="1" x14ac:dyDescent="0.45">
      <c r="B36" s="9" t="s">
        <v>122</v>
      </c>
      <c r="C36" s="10" t="s">
        <v>121</v>
      </c>
    </row>
    <row r="37" spans="2:3" ht="15" customHeight="1" x14ac:dyDescent="0.45">
      <c r="B37" s="9" t="s">
        <v>118</v>
      </c>
      <c r="C37" t="s">
        <v>117</v>
      </c>
    </row>
    <row r="38" spans="2:3" ht="15" customHeight="1" x14ac:dyDescent="0.45">
      <c r="B38" s="9" t="s">
        <v>114</v>
      </c>
      <c r="C38" s="10" t="s">
        <v>113</v>
      </c>
    </row>
    <row r="39" spans="2:3" ht="15" customHeight="1" x14ac:dyDescent="0.45">
      <c r="B39" s="9" t="s">
        <v>109</v>
      </c>
      <c r="C39" t="s">
        <v>108</v>
      </c>
    </row>
    <row r="40" spans="2:3" ht="15" customHeight="1" x14ac:dyDescent="0.45">
      <c r="B40" s="9" t="s">
        <v>104</v>
      </c>
      <c r="C40" s="10" t="s">
        <v>103</v>
      </c>
    </row>
    <row r="41" spans="2:3" ht="15" customHeight="1" x14ac:dyDescent="0.45">
      <c r="B41" s="9" t="s">
        <v>100</v>
      </c>
      <c r="C41" t="s">
        <v>99</v>
      </c>
    </row>
    <row r="42" spans="2:3" ht="15" customHeight="1" x14ac:dyDescent="0.45">
      <c r="B42" s="9" t="s">
        <v>95</v>
      </c>
      <c r="C42" s="10" t="s">
        <v>94</v>
      </c>
    </row>
    <row r="43" spans="2:3" ht="15" customHeight="1" x14ac:dyDescent="0.45">
      <c r="B43" s="9" t="s">
        <v>90</v>
      </c>
      <c r="C43" t="s">
        <v>89</v>
      </c>
    </row>
    <row r="44" spans="2:3" ht="15" customHeight="1" x14ac:dyDescent="0.45">
      <c r="B44" s="9" t="s">
        <v>86</v>
      </c>
      <c r="C44" s="10" t="s">
        <v>85</v>
      </c>
    </row>
    <row r="45" spans="2:3" ht="15" customHeight="1" x14ac:dyDescent="0.45">
      <c r="B45" s="9" t="s">
        <v>77</v>
      </c>
      <c r="C45" t="s">
        <v>76</v>
      </c>
    </row>
    <row r="46" spans="2:3" ht="15" customHeight="1" x14ac:dyDescent="0.45">
      <c r="B46" s="9" t="s">
        <v>74</v>
      </c>
      <c r="C46" s="10" t="s">
        <v>73</v>
      </c>
    </row>
    <row r="47" spans="2:3" ht="15" customHeight="1" x14ac:dyDescent="0.45">
      <c r="B47" s="9" t="s">
        <v>70</v>
      </c>
      <c r="C47" t="s">
        <v>69</v>
      </c>
    </row>
    <row r="48" spans="2:3" ht="15" customHeight="1" x14ac:dyDescent="0.45">
      <c r="B48" s="9" t="s">
        <v>66</v>
      </c>
      <c r="C48" s="10" t="s">
        <v>65</v>
      </c>
    </row>
    <row r="49" spans="2:3" ht="15" customHeight="1" x14ac:dyDescent="0.45">
      <c r="B49" s="9" t="s">
        <v>63</v>
      </c>
      <c r="C49" t="s">
        <v>62</v>
      </c>
    </row>
    <row r="50" spans="2:3" ht="15" customHeight="1" x14ac:dyDescent="0.45">
      <c r="B50" s="9" t="s">
        <v>60</v>
      </c>
      <c r="C50" s="10" t="s">
        <v>59</v>
      </c>
    </row>
    <row r="51" spans="2:3" ht="15" customHeight="1" x14ac:dyDescent="0.45">
      <c r="B51" s="9" t="s">
        <v>56</v>
      </c>
      <c r="C51" t="s">
        <v>55</v>
      </c>
    </row>
    <row r="52" spans="2:3" ht="15" customHeight="1" x14ac:dyDescent="0.45">
      <c r="B52" s="9" t="s">
        <v>53</v>
      </c>
      <c r="C52" s="10" t="s">
        <v>52</v>
      </c>
    </row>
    <row r="53" spans="2:3" ht="15" customHeight="1" x14ac:dyDescent="0.45">
      <c r="B53" s="9" t="s">
        <v>49</v>
      </c>
      <c r="C53" t="s">
        <v>48</v>
      </c>
    </row>
    <row r="54" spans="2:3" ht="15" customHeight="1" x14ac:dyDescent="0.45">
      <c r="B54" s="9" t="s">
        <v>45</v>
      </c>
      <c r="C54" s="10" t="s">
        <v>44</v>
      </c>
    </row>
    <row r="55" spans="2:3" ht="15" customHeight="1" x14ac:dyDescent="0.45">
      <c r="B55" s="9" t="s">
        <v>41</v>
      </c>
      <c r="C55" t="s">
        <v>40</v>
      </c>
    </row>
    <row r="56" spans="2:3" ht="15" customHeight="1" x14ac:dyDescent="0.45">
      <c r="B56" s="9" t="s">
        <v>37</v>
      </c>
      <c r="C56" s="10" t="s">
        <v>36</v>
      </c>
    </row>
    <row r="57" spans="2:3" ht="15" customHeight="1" x14ac:dyDescent="0.45">
      <c r="B57" s="9" t="s">
        <v>33</v>
      </c>
      <c r="C57" t="s">
        <v>32</v>
      </c>
    </row>
    <row r="58" spans="2:3" ht="15" customHeight="1" x14ac:dyDescent="0.45">
      <c r="B58" s="9" t="s">
        <v>29</v>
      </c>
      <c r="C58" s="10" t="s">
        <v>28</v>
      </c>
    </row>
    <row r="59" spans="2:3" ht="15" customHeight="1" x14ac:dyDescent="0.45">
      <c r="B59" s="9" t="s">
        <v>22</v>
      </c>
      <c r="C59" t="s">
        <v>21</v>
      </c>
    </row>
    <row r="60" spans="2:3" ht="15" customHeight="1" x14ac:dyDescent="0.45">
      <c r="B60" s="9" t="s">
        <v>15</v>
      </c>
      <c r="C60" s="10" t="s">
        <v>14</v>
      </c>
    </row>
    <row r="62" spans="2:3" ht="20" customHeight="1" x14ac:dyDescent="0.55000000000000004">
      <c r="B62" s="6" t="s">
        <v>240</v>
      </c>
    </row>
    <row r="63" spans="2:3" ht="17.55" customHeight="1" x14ac:dyDescent="0.45">
      <c r="B63" s="7" t="s">
        <v>238</v>
      </c>
      <c r="C63" s="8" t="s">
        <v>239</v>
      </c>
    </row>
    <row r="64" spans="2:3" ht="15" customHeight="1" x14ac:dyDescent="0.45">
      <c r="B64" s="9" t="s">
        <v>10</v>
      </c>
      <c r="C64" t="s">
        <v>9</v>
      </c>
    </row>
    <row r="65" spans="2:3" ht="17.55" customHeight="1" x14ac:dyDescent="0.45">
      <c r="B65" s="7" t="s">
        <v>241</v>
      </c>
      <c r="C65" s="8" t="s">
        <v>239</v>
      </c>
    </row>
    <row r="66" spans="2:3" ht="15" customHeight="1" x14ac:dyDescent="0.45">
      <c r="B66" s="9" t="s">
        <v>7</v>
      </c>
      <c r="C66">
        <v>0</v>
      </c>
    </row>
    <row r="67" spans="2:3" ht="15" customHeight="1" x14ac:dyDescent="0.45">
      <c r="B67" s="9" t="s">
        <v>5</v>
      </c>
      <c r="C67" s="10" t="s">
        <v>4</v>
      </c>
    </row>
    <row r="68" spans="2:3" ht="15" customHeight="1" x14ac:dyDescent="0.45">
      <c r="B68" s="9" t="s">
        <v>2</v>
      </c>
      <c r="C68" t="s">
        <v>1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1FA8D-4ADD-4240-8FD5-0ABB82B8375A}">
  <sheetPr codeName="Sheet2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231</v>
      </c>
    </row>
    <row r="3" spans="2:4" s="1" customFormat="1" x14ac:dyDescent="0.45">
      <c r="B3" s="3" t="s">
        <v>232</v>
      </c>
    </row>
    <row r="5" spans="2:4" x14ac:dyDescent="0.45">
      <c r="B5" s="4" t="s">
        <v>233</v>
      </c>
      <c r="C5" cm="1">
        <f t="array" ref="C5">_xll.MATH.ABS(n)</f>
        <v>0</v>
      </c>
    </row>
    <row r="6" spans="2:4" x14ac:dyDescent="0.45">
      <c r="B6" s="4" t="s">
        <v>234</v>
      </c>
      <c r="D6" t="s">
        <v>235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9E11-7BD4-4175-B3C0-0D48D7D53433}">
  <sheetPr codeName="Sheet3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227</v>
      </c>
    </row>
    <row r="3" spans="2:4" s="1" customFormat="1" x14ac:dyDescent="0.45">
      <c r="B3" s="3" t="s">
        <v>228</v>
      </c>
    </row>
    <row r="5" spans="2:4" x14ac:dyDescent="0.45">
      <c r="B5" s="4" t="s">
        <v>229</v>
      </c>
      <c r="C5" cm="1">
        <f t="array" ref="C5">_xll.MATH.ACOS(x)</f>
        <v>1.5707963267948966</v>
      </c>
    </row>
    <row r="6" spans="2:4" x14ac:dyDescent="0.45">
      <c r="B6" s="4" t="s">
        <v>16</v>
      </c>
      <c r="D6" t="s">
        <v>230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A3E9-937F-428A-80F1-7E67FB5693B4}">
  <sheetPr codeName="Sheet4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224</v>
      </c>
    </row>
    <row r="3" spans="2:4" s="1" customFormat="1" x14ac:dyDescent="0.45">
      <c r="B3" s="3" t="s">
        <v>225</v>
      </c>
    </row>
    <row r="5" spans="2:4" x14ac:dyDescent="0.45">
      <c r="B5" s="4" t="s">
        <v>226</v>
      </c>
      <c r="C5" t="e" cm="1">
        <f t="array" ref="C5">_xll.MATH.ACOSH(x)</f>
        <v>#NUM!</v>
      </c>
    </row>
    <row r="6" spans="2:4" x14ac:dyDescent="0.4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1D12B-8868-41D7-8806-770962A4AF36}">
  <sheetPr codeName="Sheet5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220</v>
      </c>
    </row>
    <row r="3" spans="2:4" s="1" customFormat="1" x14ac:dyDescent="0.45">
      <c r="B3" s="3" t="s">
        <v>221</v>
      </c>
    </row>
    <row r="5" spans="2:4" x14ac:dyDescent="0.45">
      <c r="B5" s="4" t="s">
        <v>222</v>
      </c>
      <c r="C5" cm="1">
        <f t="array" ref="C5">_xll.MATH.ASIN(x)</f>
        <v>0</v>
      </c>
    </row>
    <row r="6" spans="2:4" x14ac:dyDescent="0.45">
      <c r="B6" s="4" t="s">
        <v>16</v>
      </c>
      <c r="D6" t="s">
        <v>223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1A8CA-6249-4ED2-9B84-1E80660BA3F6}">
  <sheetPr codeName="Sheet6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217</v>
      </c>
    </row>
    <row r="3" spans="2:4" s="1" customFormat="1" x14ac:dyDescent="0.45">
      <c r="B3" s="3" t="s">
        <v>218</v>
      </c>
    </row>
    <row r="5" spans="2:4" x14ac:dyDescent="0.45">
      <c r="B5" s="4" t="s">
        <v>219</v>
      </c>
      <c r="C5" cm="1">
        <f t="array" ref="C5">_xll.MATH.ASINH(x)</f>
        <v>0</v>
      </c>
    </row>
    <row r="6" spans="2:4" x14ac:dyDescent="0.4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F6E2-E6C7-4FD0-949B-D61E1B8C009C}">
  <sheetPr codeName="Sheet7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213</v>
      </c>
    </row>
    <row r="3" spans="2:4" s="1" customFormat="1" x14ac:dyDescent="0.45">
      <c r="B3" s="3" t="s">
        <v>214</v>
      </c>
    </row>
    <row r="5" spans="2:4" x14ac:dyDescent="0.45">
      <c r="B5" s="4" t="s">
        <v>215</v>
      </c>
      <c r="C5" cm="1">
        <f t="array" ref="C5">_xll.MATH.ATAN(x)</f>
        <v>0</v>
      </c>
    </row>
    <row r="6" spans="2:4" x14ac:dyDescent="0.45">
      <c r="B6" s="4" t="s">
        <v>16</v>
      </c>
      <c r="D6" t="s">
        <v>216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01FB8-0152-4736-A491-11D05C464950}">
  <sheetPr codeName="Sheet8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210</v>
      </c>
    </row>
    <row r="3" spans="2:4" s="1" customFormat="1" x14ac:dyDescent="0.45">
      <c r="B3" s="3" t="s">
        <v>211</v>
      </c>
    </row>
    <row r="5" spans="2:4" x14ac:dyDescent="0.45">
      <c r="B5" s="4" t="s">
        <v>212</v>
      </c>
      <c r="C5" cm="1">
        <f t="array" ref="C5">_xll.MATH.ATANH(x)</f>
        <v>0</v>
      </c>
    </row>
    <row r="6" spans="2:4" x14ac:dyDescent="0.4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DE2A-4E77-412B-AA51-73071C163D56}">
  <sheetPr codeName="Sheet9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206</v>
      </c>
    </row>
    <row r="3" spans="2:4" s="1" customFormat="1" x14ac:dyDescent="0.45">
      <c r="B3" s="3" t="s">
        <v>207</v>
      </c>
    </row>
    <row r="5" spans="2:4" x14ac:dyDescent="0.45">
      <c r="B5" s="4" t="s">
        <v>208</v>
      </c>
      <c r="C5" cm="1">
        <f t="array" ref="C5">_xll.MATH.CBRT(x)</f>
        <v>0</v>
      </c>
    </row>
    <row r="6" spans="2:4" x14ac:dyDescent="0.45">
      <c r="B6" s="4" t="s">
        <v>16</v>
      </c>
      <c r="D6" t="s">
        <v>209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8FBF9-E1FF-4F53-80BE-340414F485DF}">
  <sheetPr codeName="Sheet10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203</v>
      </c>
    </row>
    <row r="3" spans="2:4" s="1" customFormat="1" x14ac:dyDescent="0.45">
      <c r="B3" s="3" t="s">
        <v>204</v>
      </c>
    </row>
    <row r="5" spans="2:4" x14ac:dyDescent="0.45">
      <c r="B5" s="4" t="s">
        <v>205</v>
      </c>
      <c r="C5" cm="1">
        <f t="array" ref="C5">_xll.MATH.CEIL(x)</f>
        <v>0</v>
      </c>
    </row>
    <row r="6" spans="2:4" x14ac:dyDescent="0.4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69D6-BA0A-48E9-A516-732D51B9EEB4}">
  <sheetPr codeName="Sheet11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198</v>
      </c>
    </row>
    <row r="3" spans="2:4" s="1" customFormat="1" x14ac:dyDescent="0.45">
      <c r="B3" s="3" t="s">
        <v>199</v>
      </c>
    </row>
    <row r="5" spans="2:4" x14ac:dyDescent="0.45">
      <c r="B5" s="4" t="s">
        <v>200</v>
      </c>
      <c r="C5" cm="1">
        <f t="array" ref="C5">_xll.MATH.COPYSIGN(x, y)</f>
        <v>0</v>
      </c>
    </row>
    <row r="6" spans="2:4" x14ac:dyDescent="0.45">
      <c r="B6" s="4" t="s">
        <v>16</v>
      </c>
      <c r="D6" t="s">
        <v>201</v>
      </c>
    </row>
    <row r="7" spans="2:4" x14ac:dyDescent="0.45">
      <c r="B7" s="4" t="s">
        <v>87</v>
      </c>
      <c r="D7" t="s">
        <v>202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DAD82-3B6C-4BF7-A241-5D676E570692}">
  <sheetPr codeName="Sheet12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195</v>
      </c>
    </row>
    <row r="3" spans="2:4" s="1" customFormat="1" x14ac:dyDescent="0.45">
      <c r="B3" s="3" t="s">
        <v>196</v>
      </c>
    </row>
    <row r="5" spans="2:4" x14ac:dyDescent="0.45">
      <c r="B5" s="4" t="s">
        <v>197</v>
      </c>
      <c r="C5" cm="1">
        <f t="array" ref="C5">_xll.MATH.COS(x)</f>
        <v>1</v>
      </c>
    </row>
    <row r="6" spans="2:4" x14ac:dyDescent="0.4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558FA-C3A0-4314-BC8E-3207BB5F800A}">
  <sheetPr codeName="Sheet13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192</v>
      </c>
    </row>
    <row r="3" spans="2:4" s="1" customFormat="1" x14ac:dyDescent="0.45">
      <c r="B3" s="3" t="s">
        <v>193</v>
      </c>
    </row>
    <row r="5" spans="2:4" x14ac:dyDescent="0.45">
      <c r="B5" s="4" t="s">
        <v>194</v>
      </c>
      <c r="C5" cm="1">
        <f t="array" ref="C5">_xll.MATH.COSH(x)</f>
        <v>1</v>
      </c>
    </row>
    <row r="6" spans="2:4" x14ac:dyDescent="0.4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DBF7-3624-4208-902F-2C89D6786464}">
  <sheetPr codeName="Sheet14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189</v>
      </c>
    </row>
    <row r="3" spans="2:4" s="1" customFormat="1" x14ac:dyDescent="0.45">
      <c r="B3" s="3" t="s">
        <v>190</v>
      </c>
    </row>
    <row r="5" spans="2:4" x14ac:dyDescent="0.45">
      <c r="B5" s="4" t="s">
        <v>191</v>
      </c>
      <c r="C5" cm="1">
        <f t="array" ref="C5">_xll.MATH.ERF(x)</f>
        <v>0</v>
      </c>
    </row>
    <row r="6" spans="2:4" x14ac:dyDescent="0.45">
      <c r="B6" s="4" t="s">
        <v>16</v>
      </c>
      <c r="D6" t="s">
        <v>115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F21F4-B7A3-4B6C-B644-7EAB385A41A8}">
  <sheetPr codeName="Sheet15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185</v>
      </c>
    </row>
    <row r="3" spans="2:4" s="1" customFormat="1" x14ac:dyDescent="0.45">
      <c r="B3" s="3" t="s">
        <v>186</v>
      </c>
    </row>
    <row r="5" spans="2:4" x14ac:dyDescent="0.45">
      <c r="B5" s="4" t="s">
        <v>187</v>
      </c>
      <c r="C5" cm="1">
        <f t="array" ref="C5">_xll.MATH.EXP(x)</f>
        <v>1</v>
      </c>
    </row>
    <row r="6" spans="2:4" x14ac:dyDescent="0.45">
      <c r="B6" s="4" t="s">
        <v>16</v>
      </c>
      <c r="D6" t="s">
        <v>188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606FD-EA98-442B-903B-9F73C6948B27}">
  <sheetPr codeName="Sheet16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181</v>
      </c>
    </row>
    <row r="3" spans="2:4" s="1" customFormat="1" x14ac:dyDescent="0.45">
      <c r="B3" s="3" t="s">
        <v>182</v>
      </c>
    </row>
    <row r="5" spans="2:4" x14ac:dyDescent="0.45">
      <c r="B5" s="4" t="s">
        <v>183</v>
      </c>
      <c r="C5" cm="1">
        <f t="array" ref="C5">_xll.MATH.EXP2(x)</f>
        <v>1</v>
      </c>
    </row>
    <row r="6" spans="2:4" x14ac:dyDescent="0.45">
      <c r="B6" s="4" t="s">
        <v>16</v>
      </c>
      <c r="D6" t="s">
        <v>184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867D3-BC14-44A5-87C0-728427BFE18F}">
  <sheetPr codeName="Sheet17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177</v>
      </c>
    </row>
    <row r="3" spans="2:4" s="1" customFormat="1" x14ac:dyDescent="0.45">
      <c r="B3" s="3" t="s">
        <v>178</v>
      </c>
    </row>
    <row r="5" spans="2:4" x14ac:dyDescent="0.45">
      <c r="B5" s="4" t="s">
        <v>179</v>
      </c>
      <c r="C5" cm="1">
        <f t="array" ref="C5">_xll.MATH.EXPM1(x)</f>
        <v>0</v>
      </c>
    </row>
    <row r="6" spans="2:4" x14ac:dyDescent="0.45">
      <c r="B6" s="4" t="s">
        <v>16</v>
      </c>
      <c r="D6" t="s">
        <v>180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5FED2-1B32-46C8-B0A7-33E3E7E7827D}">
  <sheetPr codeName="Sheet18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174</v>
      </c>
    </row>
    <row r="3" spans="2:4" s="1" customFormat="1" x14ac:dyDescent="0.45">
      <c r="B3" s="3" t="s">
        <v>175</v>
      </c>
    </row>
    <row r="5" spans="2:4" x14ac:dyDescent="0.45">
      <c r="B5" s="4" t="s">
        <v>176</v>
      </c>
      <c r="C5" cm="1">
        <f t="array" ref="C5">_xll.MATH.FABS(x)</f>
        <v>0</v>
      </c>
    </row>
    <row r="6" spans="2:4" x14ac:dyDescent="0.4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FB41C-0330-4BFA-A417-E11F40E72F1A}">
  <sheetPr codeName="Sheet19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169</v>
      </c>
    </row>
    <row r="3" spans="2:4" s="1" customFormat="1" x14ac:dyDescent="0.45">
      <c r="B3" s="3" t="s">
        <v>170</v>
      </c>
    </row>
    <row r="5" spans="2:4" x14ac:dyDescent="0.45">
      <c r="B5" s="4" t="s">
        <v>171</v>
      </c>
      <c r="C5" cm="1">
        <f t="array" ref="C5">_xll.MATH.FDIM(x, y)</f>
        <v>0</v>
      </c>
    </row>
    <row r="6" spans="2:4" x14ac:dyDescent="0.45">
      <c r="B6" s="4" t="s">
        <v>16</v>
      </c>
      <c r="D6" t="s">
        <v>172</v>
      </c>
    </row>
    <row r="7" spans="2:4" x14ac:dyDescent="0.45">
      <c r="B7" s="4" t="s">
        <v>87</v>
      </c>
      <c r="D7" t="s">
        <v>173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2B748-9514-4320-A529-E97467DC4ACC}">
  <sheetPr codeName="Sheet20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166</v>
      </c>
    </row>
    <row r="3" spans="2:4" s="1" customFormat="1" x14ac:dyDescent="0.45">
      <c r="B3" s="3" t="s">
        <v>167</v>
      </c>
    </row>
    <row r="5" spans="2:4" x14ac:dyDescent="0.45">
      <c r="B5" s="4" t="s">
        <v>168</v>
      </c>
      <c r="C5" cm="1">
        <f t="array" ref="C5">_xll.MATH.FLOOR(x)</f>
        <v>0</v>
      </c>
    </row>
    <row r="6" spans="2:4" x14ac:dyDescent="0.4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67988-29FA-41E8-B768-2DD7AEFFE4B7}">
  <sheetPr codeName="Sheet21"/>
  <dimension ref="B1:D8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159</v>
      </c>
    </row>
    <row r="3" spans="2:4" s="1" customFormat="1" x14ac:dyDescent="0.45">
      <c r="B3" s="3" t="s">
        <v>160</v>
      </c>
    </row>
    <row r="5" spans="2:4" x14ac:dyDescent="0.45">
      <c r="B5" s="4" t="s">
        <v>161</v>
      </c>
      <c r="C5" cm="1">
        <f t="array" ref="C5">_xll.MATH.FMA(x, y, z)</f>
        <v>0</v>
      </c>
    </row>
    <row r="6" spans="2:4" x14ac:dyDescent="0.45">
      <c r="B6" s="4" t="s">
        <v>16</v>
      </c>
      <c r="D6" t="s">
        <v>162</v>
      </c>
    </row>
    <row r="7" spans="2:4" x14ac:dyDescent="0.45">
      <c r="B7" s="4" t="s">
        <v>87</v>
      </c>
      <c r="D7" t="s">
        <v>163</v>
      </c>
    </row>
    <row r="8" spans="2:4" x14ac:dyDescent="0.45">
      <c r="B8" s="4" t="s">
        <v>164</v>
      </c>
      <c r="D8" t="s">
        <v>165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AB730-CBA8-4B2C-B500-DD59CA2D4E9B}">
  <sheetPr codeName="Sheet22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156</v>
      </c>
    </row>
    <row r="3" spans="2:4" s="1" customFormat="1" x14ac:dyDescent="0.45">
      <c r="B3" s="3" t="s">
        <v>157</v>
      </c>
    </row>
    <row r="5" spans="2:4" x14ac:dyDescent="0.45">
      <c r="B5" s="4" t="s">
        <v>158</v>
      </c>
      <c r="C5" cm="1">
        <f t="array" ref="C5">_xll.MATH.FMAX(x, y)</f>
        <v>0</v>
      </c>
    </row>
    <row r="6" spans="2:4" x14ac:dyDescent="0.45">
      <c r="B6" s="4" t="s">
        <v>16</v>
      </c>
      <c r="D6" t="s">
        <v>154</v>
      </c>
    </row>
    <row r="7" spans="2:4" x14ac:dyDescent="0.45">
      <c r="B7" s="4" t="s">
        <v>87</v>
      </c>
      <c r="D7" t="s">
        <v>155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57AA8-00AB-4A81-994C-48E2172105D3}">
  <sheetPr codeName="Sheet23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151</v>
      </c>
    </row>
    <row r="3" spans="2:4" s="1" customFormat="1" x14ac:dyDescent="0.45">
      <c r="B3" s="3" t="s">
        <v>152</v>
      </c>
    </row>
    <row r="5" spans="2:4" x14ac:dyDescent="0.45">
      <c r="B5" s="4" t="s">
        <v>153</v>
      </c>
      <c r="C5" cm="1">
        <f t="array" ref="C5">_xll.MATH.FMIN(x, y)</f>
        <v>0</v>
      </c>
    </row>
    <row r="6" spans="2:4" x14ac:dyDescent="0.45">
      <c r="B6" s="4" t="s">
        <v>16</v>
      </c>
      <c r="D6" t="s">
        <v>154</v>
      </c>
    </row>
    <row r="7" spans="2:4" x14ac:dyDescent="0.45">
      <c r="B7" s="4" t="s">
        <v>87</v>
      </c>
      <c r="D7" t="s">
        <v>155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4B0F-7786-4198-AD0F-03533EB7040F}">
  <sheetPr codeName="Sheet24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148</v>
      </c>
    </row>
    <row r="3" spans="2:4" s="1" customFormat="1" x14ac:dyDescent="0.45">
      <c r="B3" s="3" t="s">
        <v>149</v>
      </c>
    </row>
    <row r="5" spans="2:4" x14ac:dyDescent="0.45">
      <c r="B5" s="4" t="s">
        <v>150</v>
      </c>
      <c r="C5" t="e" cm="1">
        <f t="array" ref="C5">_xll.MATH.FMOD(x, y)</f>
        <v>#NUM!</v>
      </c>
    </row>
    <row r="6" spans="2:4" x14ac:dyDescent="0.45">
      <c r="B6" s="4" t="s">
        <v>16</v>
      </c>
      <c r="D6" t="s">
        <v>142</v>
      </c>
    </row>
    <row r="7" spans="2:4" x14ac:dyDescent="0.45">
      <c r="B7" s="4" t="s">
        <v>87</v>
      </c>
      <c r="D7" t="s">
        <v>142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98ACE-FCAA-4953-AF77-B94918754B62}">
  <sheetPr codeName="Sheet25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143</v>
      </c>
    </row>
    <row r="3" spans="2:4" s="1" customFormat="1" x14ac:dyDescent="0.45">
      <c r="B3" s="3" t="s">
        <v>144</v>
      </c>
    </row>
    <row r="5" spans="2:4" x14ac:dyDescent="0.45">
      <c r="B5" s="4" t="s">
        <v>145</v>
      </c>
      <c r="C5" cm="1">
        <f t="array" ref="C5">_xll.MATH.FREXP(x, expptr)</f>
        <v>0</v>
      </c>
    </row>
    <row r="6" spans="2:4" x14ac:dyDescent="0.45">
      <c r="B6" s="4" t="s">
        <v>16</v>
      </c>
      <c r="D6" t="s">
        <v>30</v>
      </c>
    </row>
    <row r="7" spans="2:4" x14ac:dyDescent="0.45">
      <c r="B7" s="4" t="s">
        <v>146</v>
      </c>
      <c r="D7" t="s">
        <v>147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22F7C-A4D4-4D71-BA82-77547B685518}">
  <sheetPr codeName="Sheet26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139</v>
      </c>
    </row>
    <row r="3" spans="2:4" s="1" customFormat="1" x14ac:dyDescent="0.45">
      <c r="B3" s="3" t="s">
        <v>140</v>
      </c>
    </row>
    <row r="5" spans="2:4" x14ac:dyDescent="0.45">
      <c r="B5" s="4" t="s">
        <v>141</v>
      </c>
      <c r="C5" cm="1">
        <f t="array" ref="C5">_xll.MATH.HYPOT(x, y)</f>
        <v>0</v>
      </c>
    </row>
    <row r="6" spans="2:4" x14ac:dyDescent="0.45">
      <c r="B6" s="4" t="s">
        <v>16</v>
      </c>
      <c r="D6" t="s">
        <v>142</v>
      </c>
    </row>
    <row r="7" spans="2:4" x14ac:dyDescent="0.45">
      <c r="B7" s="4" t="s">
        <v>87</v>
      </c>
      <c r="D7" t="s">
        <v>142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10662-DE2B-4301-87E3-25D45D2FAC06}">
  <sheetPr codeName="Sheet27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135</v>
      </c>
    </row>
    <row r="3" spans="2:4" s="1" customFormat="1" x14ac:dyDescent="0.45">
      <c r="B3" s="3" t="s">
        <v>136</v>
      </c>
    </row>
    <row r="5" spans="2:4" x14ac:dyDescent="0.45">
      <c r="B5" s="4" t="s">
        <v>137</v>
      </c>
      <c r="C5" cm="1">
        <f t="array" ref="C5">_xll.MATH.ILOGB(x)</f>
        <v>-2147483648</v>
      </c>
    </row>
    <row r="6" spans="2:4" x14ac:dyDescent="0.45">
      <c r="B6" s="4" t="s">
        <v>16</v>
      </c>
      <c r="D6" t="s">
        <v>138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9801F-F53D-445C-8AB0-17E528000041}">
  <sheetPr codeName="Sheet28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132</v>
      </c>
    </row>
    <row r="3" spans="2:4" s="1" customFormat="1" x14ac:dyDescent="0.45">
      <c r="B3" s="3" t="s">
        <v>133</v>
      </c>
    </row>
    <row r="5" spans="2:4" x14ac:dyDescent="0.45">
      <c r="B5" s="4" t="s">
        <v>134</v>
      </c>
      <c r="C5" cm="1">
        <f t="array" ref="C5">_xll.MATH.LDEXP(x, exp)</f>
        <v>0</v>
      </c>
    </row>
    <row r="6" spans="2:4" x14ac:dyDescent="0.45">
      <c r="B6" s="4" t="s">
        <v>16</v>
      </c>
      <c r="D6" t="s">
        <v>30</v>
      </c>
    </row>
    <row r="7" spans="2:4" x14ac:dyDescent="0.45">
      <c r="B7" s="4" t="s">
        <v>18</v>
      </c>
      <c r="D7" t="s">
        <v>67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CD46-98E0-4960-B47F-27408AE1D8C4}">
  <sheetPr codeName="Sheet29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128</v>
      </c>
    </row>
    <row r="3" spans="2:4" s="1" customFormat="1" x14ac:dyDescent="0.45">
      <c r="B3" s="3" t="s">
        <v>129</v>
      </c>
    </row>
    <row r="5" spans="2:4" x14ac:dyDescent="0.45">
      <c r="B5" s="4" t="s">
        <v>130</v>
      </c>
      <c r="C5" t="e" cm="1">
        <f t="array" ref="C5">_xll.MATH.LGAMMA(x)</f>
        <v>#NUM!</v>
      </c>
    </row>
    <row r="6" spans="2:4" x14ac:dyDescent="0.45">
      <c r="B6" s="4" t="s">
        <v>16</v>
      </c>
      <c r="D6" t="s">
        <v>131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D9A59-90C3-4D68-B04B-C3D73C7AA803}">
  <sheetPr codeName="Sheet30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124</v>
      </c>
    </row>
    <row r="3" spans="2:4" s="1" customFormat="1" x14ac:dyDescent="0.45">
      <c r="B3" s="3" t="s">
        <v>125</v>
      </c>
    </row>
    <row r="5" spans="2:4" x14ac:dyDescent="0.45">
      <c r="B5" s="4" t="s">
        <v>126</v>
      </c>
      <c r="C5" t="e" cm="1">
        <f t="array" ref="C5">_xll.MATH.LOG(x)</f>
        <v>#NUM!</v>
      </c>
    </row>
    <row r="6" spans="2:4" x14ac:dyDescent="0.45">
      <c r="B6" s="4" t="s">
        <v>16</v>
      </c>
      <c r="D6" t="s">
        <v>127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95507-EB6A-4AED-82A4-F4C1FD94A0A0}">
  <sheetPr codeName="Sheet31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120</v>
      </c>
    </row>
    <row r="3" spans="2:4" s="1" customFormat="1" x14ac:dyDescent="0.45">
      <c r="B3" s="3" t="s">
        <v>121</v>
      </c>
    </row>
    <row r="5" spans="2:4" x14ac:dyDescent="0.45">
      <c r="B5" s="4" t="s">
        <v>122</v>
      </c>
      <c r="C5" cm="1">
        <f t="array" ref="C5">_xll.MATH.LOG1P(x)</f>
        <v>0</v>
      </c>
    </row>
    <row r="6" spans="2:4" x14ac:dyDescent="0.45">
      <c r="B6" s="4" t="s">
        <v>16</v>
      </c>
      <c r="D6" t="s">
        <v>123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E4CFE-D9C9-4755-AAC3-C8591B395EFA}">
  <sheetPr codeName="Sheet32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116</v>
      </c>
    </row>
    <row r="3" spans="2:4" s="1" customFormat="1" x14ac:dyDescent="0.45">
      <c r="B3" s="3" t="s">
        <v>117</v>
      </c>
    </row>
    <row r="5" spans="2:4" x14ac:dyDescent="0.45">
      <c r="B5" s="4" t="s">
        <v>118</v>
      </c>
      <c r="C5" t="e" cm="1">
        <f t="array" ref="C5">_xll.MATH.LOG2(x)</f>
        <v>#NUM!</v>
      </c>
    </row>
    <row r="6" spans="2:4" x14ac:dyDescent="0.45">
      <c r="B6" s="4" t="s">
        <v>16</v>
      </c>
      <c r="D6" t="s">
        <v>119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69F3-D975-4B31-9D65-644E1A9602FE}">
  <sheetPr codeName="Sheet33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112</v>
      </c>
    </row>
    <row r="3" spans="2:4" s="1" customFormat="1" x14ac:dyDescent="0.45">
      <c r="B3" s="3" t="s">
        <v>113</v>
      </c>
    </row>
    <row r="5" spans="2:4" x14ac:dyDescent="0.45">
      <c r="B5" s="4" t="s">
        <v>114</v>
      </c>
      <c r="C5" t="e" cm="1">
        <f t="array" ref="C5">_xll.MATH.LOGB(x)</f>
        <v>#NUM!</v>
      </c>
    </row>
    <row r="6" spans="2:4" x14ac:dyDescent="0.45">
      <c r="B6" s="4" t="s">
        <v>16</v>
      </c>
      <c r="D6" t="s">
        <v>115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0B9A9-DA3E-4442-8897-368075C2787B}">
  <sheetPr codeName="Sheet34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107</v>
      </c>
    </row>
    <row r="3" spans="2:4" s="1" customFormat="1" x14ac:dyDescent="0.45">
      <c r="B3" s="3" t="s">
        <v>108</v>
      </c>
    </row>
    <row r="5" spans="2:4" x14ac:dyDescent="0.45">
      <c r="B5" s="4" t="s">
        <v>109</v>
      </c>
      <c r="C5" cm="1">
        <f t="array" ref="C5">_xll.MATH.MODF(x, intptr)</f>
        <v>0</v>
      </c>
    </row>
    <row r="6" spans="2:4" x14ac:dyDescent="0.45">
      <c r="B6" s="4" t="s">
        <v>16</v>
      </c>
      <c r="D6" t="s">
        <v>30</v>
      </c>
    </row>
    <row r="7" spans="2:4" x14ac:dyDescent="0.45">
      <c r="B7" s="4" t="s">
        <v>110</v>
      </c>
      <c r="D7" t="s">
        <v>111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D240F-E673-4247-858F-1D4AD590DDBB}">
  <sheetPr codeName="Sheet35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102</v>
      </c>
    </row>
    <row r="3" spans="2:4" s="1" customFormat="1" x14ac:dyDescent="0.45">
      <c r="B3" s="3" t="s">
        <v>103</v>
      </c>
    </row>
    <row r="5" spans="2:4" x14ac:dyDescent="0.45">
      <c r="B5" s="4" t="s">
        <v>104</v>
      </c>
      <c r="C5" t="e" cm="1">
        <f t="array" ref="C5">_xll.MATH.NAN(input)</f>
        <v>#NUM!</v>
      </c>
    </row>
    <row r="6" spans="2:4" x14ac:dyDescent="0.45">
      <c r="B6" s="4" t="s">
        <v>105</v>
      </c>
      <c r="D6" t="s">
        <v>106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2BB75-CBE1-4193-B400-6EEFA3FFAFF3}">
  <sheetPr codeName="Sheet36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98</v>
      </c>
    </row>
    <row r="3" spans="2:4" s="1" customFormat="1" x14ac:dyDescent="0.45">
      <c r="B3" s="3" t="s">
        <v>99</v>
      </c>
    </row>
    <row r="5" spans="2:4" x14ac:dyDescent="0.45">
      <c r="B5" s="4" t="s">
        <v>100</v>
      </c>
      <c r="C5" cm="1">
        <f t="array" ref="C5">_xll.MATH.NEARBYINT(x)</f>
        <v>0</v>
      </c>
    </row>
    <row r="6" spans="2:4" x14ac:dyDescent="0.45">
      <c r="B6" s="4" t="s">
        <v>16</v>
      </c>
      <c r="D6" t="s">
        <v>101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7B78-44C9-4232-BAE1-DA289DB2779E}">
  <sheetPr codeName="Sheet37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93</v>
      </c>
    </row>
    <row r="3" spans="2:4" s="1" customFormat="1" x14ac:dyDescent="0.45">
      <c r="B3" s="3" t="s">
        <v>94</v>
      </c>
    </row>
    <row r="5" spans="2:4" x14ac:dyDescent="0.45">
      <c r="B5" s="4" t="s">
        <v>95</v>
      </c>
      <c r="C5" cm="1">
        <f t="array" ref="C5">_xll.MATH.NEXTAFTER(x, y)</f>
        <v>0</v>
      </c>
    </row>
    <row r="6" spans="2:4" x14ac:dyDescent="0.45">
      <c r="B6" s="4" t="s">
        <v>16</v>
      </c>
      <c r="D6" t="s">
        <v>96</v>
      </c>
    </row>
    <row r="7" spans="2:4" x14ac:dyDescent="0.45">
      <c r="B7" s="4" t="s">
        <v>87</v>
      </c>
      <c r="D7" t="s">
        <v>97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42658-4288-4EE4-9BB5-133E98D22C9A}">
  <sheetPr codeName="Sheet38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88</v>
      </c>
    </row>
    <row r="3" spans="2:4" s="1" customFormat="1" x14ac:dyDescent="0.45">
      <c r="B3" s="3" t="s">
        <v>89</v>
      </c>
    </row>
    <row r="5" spans="2:4" x14ac:dyDescent="0.45">
      <c r="B5" s="4" t="s">
        <v>90</v>
      </c>
      <c r="C5" cm="1">
        <f t="array" ref="C5">_xll.MATH.POW(x, y)</f>
        <v>1</v>
      </c>
    </row>
    <row r="6" spans="2:4" x14ac:dyDescent="0.45">
      <c r="B6" s="4" t="s">
        <v>16</v>
      </c>
      <c r="D6" t="s">
        <v>91</v>
      </c>
    </row>
    <row r="7" spans="2:4" x14ac:dyDescent="0.45">
      <c r="B7" s="4" t="s">
        <v>87</v>
      </c>
      <c r="D7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0FABD-2514-40EF-BFE3-EF0C8BB66111}">
  <sheetPr codeName="Sheet39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84</v>
      </c>
    </row>
    <row r="3" spans="2:4" s="1" customFormat="1" x14ac:dyDescent="0.45">
      <c r="B3" s="3" t="s">
        <v>85</v>
      </c>
    </row>
    <row r="5" spans="2:4" x14ac:dyDescent="0.45">
      <c r="B5" s="4" t="s">
        <v>86</v>
      </c>
      <c r="C5" t="e" cm="1">
        <f t="array" ref="C5">_xll.MATH.REMAINDER(x, y)</f>
        <v>#NUM!</v>
      </c>
    </row>
    <row r="6" spans="2:4" x14ac:dyDescent="0.45">
      <c r="B6" s="4" t="s">
        <v>16</v>
      </c>
      <c r="D6" t="s">
        <v>79</v>
      </c>
    </row>
    <row r="7" spans="2:4" x14ac:dyDescent="0.45">
      <c r="B7" s="4" t="s">
        <v>87</v>
      </c>
      <c r="D7" t="s">
        <v>81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9469A-844B-483C-B079-9D851CEC2D6B}">
  <sheetPr codeName="Sheet40"/>
  <dimension ref="B1:D8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75</v>
      </c>
    </row>
    <row r="3" spans="2:4" s="1" customFormat="1" x14ac:dyDescent="0.45">
      <c r="B3" s="3" t="s">
        <v>76</v>
      </c>
    </row>
    <row r="5" spans="2:4" x14ac:dyDescent="0.45">
      <c r="B5" s="4" t="s">
        <v>77</v>
      </c>
      <c r="C5" t="e" cm="1">
        <f t="array" ref="C5">_xll.MATH.REMQUO(numer, denom, quo)</f>
        <v>#NUM!</v>
      </c>
    </row>
    <row r="6" spans="2:4" x14ac:dyDescent="0.45">
      <c r="B6" s="4" t="s">
        <v>78</v>
      </c>
      <c r="D6" t="s">
        <v>79</v>
      </c>
    </row>
    <row r="7" spans="2:4" x14ac:dyDescent="0.45">
      <c r="B7" s="4" t="s">
        <v>80</v>
      </c>
      <c r="D7" t="s">
        <v>81</v>
      </c>
    </row>
    <row r="8" spans="2:4" x14ac:dyDescent="0.45">
      <c r="B8" s="4" t="s">
        <v>82</v>
      </c>
      <c r="D8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D75E4-ACC7-452B-98C3-DF6CABD010F3}">
  <sheetPr codeName="Sheet41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72</v>
      </c>
    </row>
    <row r="3" spans="2:4" s="1" customFormat="1" x14ac:dyDescent="0.45">
      <c r="B3" s="3" t="s">
        <v>73</v>
      </c>
    </row>
    <row r="5" spans="2:4" x14ac:dyDescent="0.45">
      <c r="B5" s="4" t="s">
        <v>74</v>
      </c>
      <c r="C5" cm="1">
        <f t="array" ref="C5">_xll.MATH.RINT(x)</f>
        <v>0</v>
      </c>
    </row>
    <row r="6" spans="2:4" x14ac:dyDescent="0.45">
      <c r="B6" s="4" t="s">
        <v>16</v>
      </c>
      <c r="D6" t="s">
        <v>71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5EA18-AEF8-4715-B496-ADB67D2B1B6B}">
  <sheetPr codeName="Sheet42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68</v>
      </c>
    </row>
    <row r="3" spans="2:4" s="1" customFormat="1" x14ac:dyDescent="0.45">
      <c r="B3" s="3" t="s">
        <v>69</v>
      </c>
    </row>
    <row r="5" spans="2:4" x14ac:dyDescent="0.45">
      <c r="B5" s="4" t="s">
        <v>70</v>
      </c>
      <c r="C5" cm="1">
        <f t="array" ref="C5">_xll.MATH.ROUND(x)</f>
        <v>0</v>
      </c>
    </row>
    <row r="6" spans="2:4" x14ac:dyDescent="0.45">
      <c r="B6" s="4" t="s">
        <v>16</v>
      </c>
      <c r="D6" t="s">
        <v>71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E401-FF81-4089-B69A-8B1485EA6CD0}">
  <sheetPr codeName="Sheet43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64</v>
      </c>
    </row>
    <row r="3" spans="2:4" s="1" customFormat="1" x14ac:dyDescent="0.45">
      <c r="B3" s="3" t="s">
        <v>65</v>
      </c>
    </row>
    <row r="5" spans="2:4" x14ac:dyDescent="0.45">
      <c r="B5" s="4" t="s">
        <v>66</v>
      </c>
      <c r="C5" cm="1">
        <f t="array" ref="C5">_xll.MATH.SCALBN(x, exp)</f>
        <v>0</v>
      </c>
    </row>
    <row r="6" spans="2:4" x14ac:dyDescent="0.45">
      <c r="B6" s="4" t="s">
        <v>16</v>
      </c>
      <c r="D6" t="s">
        <v>30</v>
      </c>
    </row>
    <row r="7" spans="2:4" x14ac:dyDescent="0.45">
      <c r="B7" s="4" t="s">
        <v>18</v>
      </c>
      <c r="D7" t="s">
        <v>67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2B86-2C92-4D48-BCE6-6FCBF9991732}">
  <sheetPr codeName="Sheet44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61</v>
      </c>
    </row>
    <row r="3" spans="2:4" s="1" customFormat="1" x14ac:dyDescent="0.45">
      <c r="B3" s="3" t="s">
        <v>62</v>
      </c>
    </row>
    <row r="5" spans="2:4" x14ac:dyDescent="0.45">
      <c r="B5" s="4" t="s">
        <v>63</v>
      </c>
      <c r="C5" cm="1">
        <f t="array" ref="C5">_xll.MATH.SIN(x)</f>
        <v>0</v>
      </c>
    </row>
    <row r="6" spans="2:4" x14ac:dyDescent="0.4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85454-3B70-46EC-A672-C7AD2AC5256F}">
  <sheetPr codeName="Sheet45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58</v>
      </c>
    </row>
    <row r="3" spans="2:4" s="1" customFormat="1" x14ac:dyDescent="0.45">
      <c r="B3" s="3" t="s">
        <v>59</v>
      </c>
    </row>
    <row r="5" spans="2:4" x14ac:dyDescent="0.45">
      <c r="B5" s="4" t="s">
        <v>60</v>
      </c>
      <c r="C5" cm="1">
        <f t="array" ref="C5">_xll.MATH.SINH(x)</f>
        <v>0</v>
      </c>
    </row>
    <row r="6" spans="2:4" x14ac:dyDescent="0.4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02A10-CEF8-42D0-8EAD-FF3FFC70348E}">
  <sheetPr codeName="Sheet46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54</v>
      </c>
    </row>
    <row r="3" spans="2:4" s="1" customFormat="1" x14ac:dyDescent="0.45">
      <c r="B3" s="3" t="s">
        <v>55</v>
      </c>
    </row>
    <row r="5" spans="2:4" x14ac:dyDescent="0.45">
      <c r="B5" s="4" t="s">
        <v>56</v>
      </c>
      <c r="C5" cm="1">
        <f t="array" ref="C5">_xll.MATH.SQRT(x)</f>
        <v>0</v>
      </c>
    </row>
    <row r="6" spans="2:4" x14ac:dyDescent="0.45">
      <c r="B6" s="4" t="s">
        <v>16</v>
      </c>
      <c r="D6" t="s">
        <v>57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11295-D0CF-4A36-A78D-B2B3C78256BC}">
  <sheetPr codeName="Sheet47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51</v>
      </c>
    </row>
    <row r="3" spans="2:4" s="1" customFormat="1" x14ac:dyDescent="0.45">
      <c r="B3" s="3" t="s">
        <v>52</v>
      </c>
    </row>
    <row r="5" spans="2:4" x14ac:dyDescent="0.45">
      <c r="B5" s="4" t="s">
        <v>53</v>
      </c>
      <c r="C5" cm="1">
        <f t="array" ref="C5">_xll.MATH.TAN(x)</f>
        <v>0</v>
      </c>
    </row>
    <row r="6" spans="2:4" x14ac:dyDescent="0.4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EFD1-47D8-42C2-A41B-85F6F34B8DA0}">
  <sheetPr codeName="Sheet48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47</v>
      </c>
    </row>
    <row r="3" spans="2:4" s="1" customFormat="1" x14ac:dyDescent="0.45">
      <c r="B3" s="3" t="s">
        <v>48</v>
      </c>
    </row>
    <row r="5" spans="2:4" x14ac:dyDescent="0.45">
      <c r="B5" s="4" t="s">
        <v>49</v>
      </c>
      <c r="C5" cm="1">
        <f t="array" ref="C5">_xll.MATH.TANH(x)</f>
        <v>0</v>
      </c>
    </row>
    <row r="6" spans="2:4" x14ac:dyDescent="0.45">
      <c r="B6" s="4" t="s">
        <v>16</v>
      </c>
      <c r="D6" t="s">
        <v>50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7E7C-BEB3-4F07-B29A-0B008F3B0260}">
  <sheetPr codeName="Sheet49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43</v>
      </c>
    </row>
    <row r="3" spans="2:4" s="1" customFormat="1" x14ac:dyDescent="0.45">
      <c r="B3" s="3" t="s">
        <v>44</v>
      </c>
    </row>
    <row r="5" spans="2:4" x14ac:dyDescent="0.45">
      <c r="B5" s="4" t="s">
        <v>45</v>
      </c>
      <c r="C5" t="e" cm="1">
        <f t="array" ref="C5">_xll.MATH.TGAMMA(x)</f>
        <v>#NUM!</v>
      </c>
    </row>
    <row r="6" spans="2:4" x14ac:dyDescent="0.45">
      <c r="B6" s="4" t="s">
        <v>16</v>
      </c>
      <c r="D6" t="s">
        <v>46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F39B9-20F0-4EE6-852E-3CFA9C31361A}">
  <sheetPr codeName="Sheet50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39</v>
      </c>
    </row>
    <row r="3" spans="2:4" s="1" customFormat="1" x14ac:dyDescent="0.45">
      <c r="B3" s="3" t="s">
        <v>40</v>
      </c>
    </row>
    <row r="5" spans="2:4" x14ac:dyDescent="0.45">
      <c r="B5" s="4" t="s">
        <v>41</v>
      </c>
      <c r="C5" cm="1">
        <f t="array" ref="C5">_xll.MATH.TRUNC(x)</f>
        <v>0</v>
      </c>
    </row>
    <row r="6" spans="2:4" x14ac:dyDescent="0.45">
      <c r="B6" s="4" t="s">
        <v>16</v>
      </c>
      <c r="D6" t="s">
        <v>42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5E107-ECD0-4F34-B42E-340C60B4B93C}">
  <sheetPr codeName="Sheet51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35</v>
      </c>
    </row>
    <row r="3" spans="2:4" s="1" customFormat="1" x14ac:dyDescent="0.45">
      <c r="B3" s="3" t="s">
        <v>36</v>
      </c>
    </row>
    <row r="5" spans="2:4" x14ac:dyDescent="0.45">
      <c r="B5" s="4" t="s">
        <v>37</v>
      </c>
      <c r="C5" cm="1">
        <f t="array" ref="C5">_xll.MATH._CHGSIGN(x)</f>
        <v>0</v>
      </c>
    </row>
    <row r="6" spans="2:4" x14ac:dyDescent="0.45">
      <c r="B6" s="4" t="s">
        <v>16</v>
      </c>
      <c r="D6" t="s">
        <v>38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CCB6-4FD2-4C71-BC1D-E845004713DF}">
  <sheetPr codeName="Sheet52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31</v>
      </c>
    </row>
    <row r="3" spans="2:4" s="1" customFormat="1" x14ac:dyDescent="0.45">
      <c r="B3" s="3" t="s">
        <v>32</v>
      </c>
    </row>
    <row r="5" spans="2:4" x14ac:dyDescent="0.45">
      <c r="B5" s="4" t="s">
        <v>33</v>
      </c>
      <c r="C5" cm="1">
        <f t="array" ref="C5">_xll.MATH._FPCLASS(x)</f>
        <v>64</v>
      </c>
    </row>
    <row r="6" spans="2:4" x14ac:dyDescent="0.45">
      <c r="B6" s="4" t="s">
        <v>16</v>
      </c>
      <c r="D6" t="s">
        <v>34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0090-50E8-4446-BDED-EAAD8DC8D122}">
  <sheetPr codeName="Sheet53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27</v>
      </c>
    </row>
    <row r="3" spans="2:4" s="1" customFormat="1" x14ac:dyDescent="0.45">
      <c r="B3" s="3" t="s">
        <v>28</v>
      </c>
    </row>
    <row r="5" spans="2:4" x14ac:dyDescent="0.45">
      <c r="B5" s="4" t="s">
        <v>29</v>
      </c>
      <c r="C5" cm="1">
        <f t="array" ref="C5">_xll.MATH._J0(x)</f>
        <v>1</v>
      </c>
    </row>
    <row r="6" spans="2:4" x14ac:dyDescent="0.45">
      <c r="B6" s="4" t="s">
        <v>16</v>
      </c>
      <c r="D6" t="s">
        <v>30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48C5F-7247-4F58-AE7D-4D6ACA2B2C9B}">
  <sheetPr codeName="Sheet54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20</v>
      </c>
    </row>
    <row r="3" spans="2:4" s="1" customFormat="1" x14ac:dyDescent="0.45">
      <c r="B3" s="3" t="s">
        <v>21</v>
      </c>
    </row>
    <row r="5" spans="2:4" x14ac:dyDescent="0.45">
      <c r="B5" s="4" t="s">
        <v>22</v>
      </c>
      <c r="C5" cm="1">
        <f t="array" ref="C5">_xll.MATH._ROTL(value, shift)</f>
        <v>0</v>
      </c>
    </row>
    <row r="6" spans="2:4" x14ac:dyDescent="0.45">
      <c r="B6" s="4" t="s">
        <v>23</v>
      </c>
      <c r="D6" t="s">
        <v>24</v>
      </c>
    </row>
    <row r="7" spans="2:4" x14ac:dyDescent="0.45">
      <c r="B7" s="4" t="s">
        <v>25</v>
      </c>
      <c r="D7" t="s">
        <v>26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6A357-B9A9-4610-B268-33FC2A391B0A}">
  <sheetPr codeName="Sheet55"/>
  <dimension ref="B1:D7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13</v>
      </c>
    </row>
    <row r="3" spans="2:4" s="1" customFormat="1" x14ac:dyDescent="0.45">
      <c r="B3" s="3" t="s">
        <v>14</v>
      </c>
    </row>
    <row r="5" spans="2:4" x14ac:dyDescent="0.45">
      <c r="B5" s="4" t="s">
        <v>15</v>
      </c>
      <c r="C5" cm="1">
        <f t="array" ref="C5">_xll.MATH._SCALB(x, exp)</f>
        <v>0</v>
      </c>
    </row>
    <row r="6" spans="2:4" x14ac:dyDescent="0.45">
      <c r="B6" s="4" t="s">
        <v>16</v>
      </c>
      <c r="D6" t="s">
        <v>17</v>
      </c>
    </row>
    <row r="7" spans="2:4" x14ac:dyDescent="0.45">
      <c r="B7" s="4" t="s">
        <v>18</v>
      </c>
      <c r="D7" t="s">
        <v>19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FFFDC-08E8-4561-B68E-AD9FEA069CB4}">
  <sheetPr codeName="Sheet56"/>
  <dimension ref="B1:D6"/>
  <sheetViews>
    <sheetView showGridLines="0" workbookViewId="0">
      <selection activeCell="C5" sqref="C5"/>
    </sheetView>
  </sheetViews>
  <sheetFormatPr defaultRowHeight="14.25" x14ac:dyDescent="0.45"/>
  <sheetData>
    <row r="1" spans="2:4" s="1" customFormat="1" x14ac:dyDescent="0.45"/>
    <row r="2" spans="2:4" s="2" customFormat="1" ht="24" customHeight="1" x14ac:dyDescent="0.55000000000000004">
      <c r="B2" s="2" t="s">
        <v>8</v>
      </c>
    </row>
    <row r="3" spans="2:4" s="1" customFormat="1" x14ac:dyDescent="0.45">
      <c r="B3" s="3" t="s">
        <v>9</v>
      </c>
    </row>
    <row r="5" spans="2:4" x14ac:dyDescent="0.45">
      <c r="B5" s="4" t="s">
        <v>10</v>
      </c>
      <c r="C5" cm="1">
        <f t="array" ref="C5">_xll.XLL_ALERT_LEVEL(level)</f>
        <v>0</v>
      </c>
    </row>
    <row r="6" spans="2:4" x14ac:dyDescent="0.45">
      <c r="B6" s="4" t="s">
        <v>11</v>
      </c>
      <c r="D6" t="s">
        <v>12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B7B8-D70F-4B81-9027-045FAA3B0CA1}">
  <sheetPr codeName="Sheet57"/>
  <dimension ref="B1:B5"/>
  <sheetViews>
    <sheetView showGridLines="0" workbookViewId="0">
      <selection activeCell="B6" sqref="B6"/>
    </sheetView>
  </sheetViews>
  <sheetFormatPr defaultRowHeight="14.25" x14ac:dyDescent="0.45"/>
  <sheetData>
    <row r="1" spans="2:2" s="1" customFormat="1" x14ac:dyDescent="0.45"/>
    <row r="2" spans="2:2" s="2" customFormat="1" ht="24" customHeight="1" x14ac:dyDescent="0.55000000000000004">
      <c r="B2" s="2" t="s">
        <v>6</v>
      </c>
    </row>
    <row r="3" spans="2:2" s="1" customFormat="1" x14ac:dyDescent="0.45">
      <c r="B3" s="3">
        <v>0</v>
      </c>
    </row>
    <row r="5" spans="2:2" x14ac:dyDescent="0.45">
      <c r="B5" s="4" t="s">
        <v>7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CD5C5-4D06-4E5D-B251-E0EAB62FE79F}">
  <sheetPr codeName="Sheet58"/>
  <dimension ref="B1:B5"/>
  <sheetViews>
    <sheetView showGridLines="0" workbookViewId="0">
      <selection activeCell="B6" sqref="B6"/>
    </sheetView>
  </sheetViews>
  <sheetFormatPr defaultRowHeight="14.25" x14ac:dyDescent="0.45"/>
  <sheetData>
    <row r="1" spans="2:2" s="1" customFormat="1" x14ac:dyDescent="0.45"/>
    <row r="2" spans="2:2" s="2" customFormat="1" ht="24" customHeight="1" x14ac:dyDescent="0.55000000000000004">
      <c r="B2" s="2" t="s">
        <v>3</v>
      </c>
    </row>
    <row r="3" spans="2:2" s="1" customFormat="1" x14ac:dyDescent="0.45">
      <c r="B3" s="3" t="s">
        <v>4</v>
      </c>
    </row>
    <row r="5" spans="2:2" x14ac:dyDescent="0.45">
      <c r="B5" s="4" t="s">
        <v>5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0F237-7732-422A-A691-690E6FEAA642}">
  <sheetPr codeName="Sheet59"/>
  <dimension ref="B1:B5"/>
  <sheetViews>
    <sheetView showGridLines="0" workbookViewId="0">
      <selection activeCell="B6" sqref="B6"/>
    </sheetView>
  </sheetViews>
  <sheetFormatPr defaultRowHeight="14.25" x14ac:dyDescent="0.45"/>
  <sheetData>
    <row r="1" spans="2:2" s="1" customFormat="1" x14ac:dyDescent="0.45"/>
    <row r="2" spans="2:2" s="2" customFormat="1" ht="24" customHeight="1" x14ac:dyDescent="0.55000000000000004">
      <c r="B2" s="2" t="s">
        <v>0</v>
      </c>
    </row>
    <row r="3" spans="2:2" s="1" customFormat="1" x14ac:dyDescent="0.45">
      <c r="B3" s="3" t="s">
        <v>1</v>
      </c>
    </row>
    <row r="5" spans="2:2" x14ac:dyDescent="0.45">
      <c r="B5" s="4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74</vt:i4>
      </vt:variant>
    </vt:vector>
  </HeadingPairs>
  <TitlesOfParts>
    <vt:vector size="133" baseType="lpstr">
      <vt:lpstr>XLL_MATH</vt:lpstr>
      <vt:lpstr>MATH.ABS</vt:lpstr>
      <vt:lpstr>MATH.ACOS</vt:lpstr>
      <vt:lpstr>MATH.ACOSH</vt:lpstr>
      <vt:lpstr>MATH.ASIN</vt:lpstr>
      <vt:lpstr>MATH.ASINH</vt:lpstr>
      <vt:lpstr>MATH.ATAN</vt:lpstr>
      <vt:lpstr>MATH.ATANH</vt:lpstr>
      <vt:lpstr>MATH.CBRT</vt:lpstr>
      <vt:lpstr>MATH.CEIL</vt:lpstr>
      <vt:lpstr>MATH.COPYSIGN</vt:lpstr>
      <vt:lpstr>MATH.COS</vt:lpstr>
      <vt:lpstr>MATH.COSH</vt:lpstr>
      <vt:lpstr>MATH.ERF</vt:lpstr>
      <vt:lpstr>MATH.EXP</vt:lpstr>
      <vt:lpstr>MATH.EXP2</vt:lpstr>
      <vt:lpstr>MATH.EXPM1</vt:lpstr>
      <vt:lpstr>MATH.FABS</vt:lpstr>
      <vt:lpstr>MATH.FDIM</vt:lpstr>
      <vt:lpstr>MATH.FLOOR</vt:lpstr>
      <vt:lpstr>MATH.FMA</vt:lpstr>
      <vt:lpstr>MATH.FMAX</vt:lpstr>
      <vt:lpstr>MATH.FMIN</vt:lpstr>
      <vt:lpstr>MATH.FMOD</vt:lpstr>
      <vt:lpstr>MATH.FREXP</vt:lpstr>
      <vt:lpstr>MATH.HYPOT</vt:lpstr>
      <vt:lpstr>MATH.ILOGB</vt:lpstr>
      <vt:lpstr>MATH.LDEXP</vt:lpstr>
      <vt:lpstr>MATH.LGAMMA</vt:lpstr>
      <vt:lpstr>MATH.LOG</vt:lpstr>
      <vt:lpstr>MATH.LOG1P</vt:lpstr>
      <vt:lpstr>MATH.LOG2</vt:lpstr>
      <vt:lpstr>MATH.LOGB</vt:lpstr>
      <vt:lpstr>MATH.MODF</vt:lpstr>
      <vt:lpstr>MATH.NAN</vt:lpstr>
      <vt:lpstr>MATH.NEARBYINT</vt:lpstr>
      <vt:lpstr>MATH.NEXTAFTER</vt:lpstr>
      <vt:lpstr>MATH.POW</vt:lpstr>
      <vt:lpstr>MATH.REMAINDER</vt:lpstr>
      <vt:lpstr>MATH.REMQUO</vt:lpstr>
      <vt:lpstr>MATH.RINT</vt:lpstr>
      <vt:lpstr>MATH.ROUND</vt:lpstr>
      <vt:lpstr>MATH.SCALBN</vt:lpstr>
      <vt:lpstr>MATH.SIN</vt:lpstr>
      <vt:lpstr>MATH.SINH</vt:lpstr>
      <vt:lpstr>MATH.SQRT</vt:lpstr>
      <vt:lpstr>MATH.TAN</vt:lpstr>
      <vt:lpstr>MATH.TANH</vt:lpstr>
      <vt:lpstr>MATH.TGAMMA</vt:lpstr>
      <vt:lpstr>MATH.TRUNC</vt:lpstr>
      <vt:lpstr>MATH._CHGSIGN</vt:lpstr>
      <vt:lpstr>MATH._FPCLASS</vt:lpstr>
      <vt:lpstr>MATH._J0</vt:lpstr>
      <vt:lpstr>MATH._ROTL</vt:lpstr>
      <vt:lpstr>MATH._SCALB</vt:lpstr>
      <vt:lpstr>XLL_ALERT_LEVEL</vt:lpstr>
      <vt:lpstr>DOC</vt:lpstr>
      <vt:lpstr>XLL.PASTE.BASIC</vt:lpstr>
      <vt:lpstr>XLL.PASTE.CREATE</vt:lpstr>
      <vt:lpstr>MATH.REMQUO!denom</vt:lpstr>
      <vt:lpstr>MATH._SCALB!exp</vt:lpstr>
      <vt:lpstr>MATH.LDEXP!exp</vt:lpstr>
      <vt:lpstr>MATH.SCALBN!exp</vt:lpstr>
      <vt:lpstr>MATH.FREXP!expptr</vt:lpstr>
      <vt:lpstr>MATH.NAN!input</vt:lpstr>
      <vt:lpstr>MATH.MODF!intptr</vt:lpstr>
      <vt:lpstr>XLL_ALERT_LEVEL!level</vt:lpstr>
      <vt:lpstr>MATH.ABS!n</vt:lpstr>
      <vt:lpstr>MATH.REMQUO!numer</vt:lpstr>
      <vt:lpstr>MATH.REMQUO!quo</vt:lpstr>
      <vt:lpstr>MATH._ROTL!shift</vt:lpstr>
      <vt:lpstr>MATH._ROTL!value</vt:lpstr>
      <vt:lpstr>MATH._CHGSIGN!x</vt:lpstr>
      <vt:lpstr>MATH._FPCLASS!x</vt:lpstr>
      <vt:lpstr>MATH._J0!x</vt:lpstr>
      <vt:lpstr>MATH._SCALB!x</vt:lpstr>
      <vt:lpstr>MATH.ACOS!x</vt:lpstr>
      <vt:lpstr>MATH.ACOSH!x</vt:lpstr>
      <vt:lpstr>MATH.ASIN!x</vt:lpstr>
      <vt:lpstr>MATH.ASINH!x</vt:lpstr>
      <vt:lpstr>MATH.ATAN!x</vt:lpstr>
      <vt:lpstr>MATH.ATANH!x</vt:lpstr>
      <vt:lpstr>MATH.CBRT!x</vt:lpstr>
      <vt:lpstr>MATH.CEIL!x</vt:lpstr>
      <vt:lpstr>MATH.COPYSIGN!x</vt:lpstr>
      <vt:lpstr>MATH.COS!x</vt:lpstr>
      <vt:lpstr>MATH.COSH!x</vt:lpstr>
      <vt:lpstr>MATH.ERF!x</vt:lpstr>
      <vt:lpstr>MATH.EXP!x</vt:lpstr>
      <vt:lpstr>MATH.EXP2!x</vt:lpstr>
      <vt:lpstr>MATH.EXPM1!x</vt:lpstr>
      <vt:lpstr>MATH.FABS!x</vt:lpstr>
      <vt:lpstr>MATH.FDIM!x</vt:lpstr>
      <vt:lpstr>MATH.FLOOR!x</vt:lpstr>
      <vt:lpstr>MATH.FMA!x</vt:lpstr>
      <vt:lpstr>MATH.FMAX!x</vt:lpstr>
      <vt:lpstr>MATH.FMIN!x</vt:lpstr>
      <vt:lpstr>MATH.FMOD!x</vt:lpstr>
      <vt:lpstr>MATH.FREXP!x</vt:lpstr>
      <vt:lpstr>MATH.HYPOT!x</vt:lpstr>
      <vt:lpstr>MATH.ILOGB!x</vt:lpstr>
      <vt:lpstr>MATH.LDEXP!x</vt:lpstr>
      <vt:lpstr>MATH.LGAMMA!x</vt:lpstr>
      <vt:lpstr>MATH.LOG!x</vt:lpstr>
      <vt:lpstr>MATH.LOG1P!x</vt:lpstr>
      <vt:lpstr>MATH.LOG2!x</vt:lpstr>
      <vt:lpstr>MATH.LOGB!x</vt:lpstr>
      <vt:lpstr>MATH.MODF!x</vt:lpstr>
      <vt:lpstr>MATH.NEARBYINT!x</vt:lpstr>
      <vt:lpstr>MATH.NEXTAFTER!x</vt:lpstr>
      <vt:lpstr>MATH.POW!x</vt:lpstr>
      <vt:lpstr>MATH.REMAINDER!x</vt:lpstr>
      <vt:lpstr>MATH.RINT!x</vt:lpstr>
      <vt:lpstr>MATH.ROUND!x</vt:lpstr>
      <vt:lpstr>MATH.SCALBN!x</vt:lpstr>
      <vt:lpstr>MATH.SIN!x</vt:lpstr>
      <vt:lpstr>MATH.SINH!x</vt:lpstr>
      <vt:lpstr>MATH.SQRT!x</vt:lpstr>
      <vt:lpstr>MATH.TAN!x</vt:lpstr>
      <vt:lpstr>MATH.TANH!x</vt:lpstr>
      <vt:lpstr>MATH.TGAMMA!x</vt:lpstr>
      <vt:lpstr>MATH.TRUNC!x</vt:lpstr>
      <vt:lpstr>MATH.COPYSIGN!y</vt:lpstr>
      <vt:lpstr>MATH.FDIM!y</vt:lpstr>
      <vt:lpstr>MATH.FMA!y</vt:lpstr>
      <vt:lpstr>MATH.FMAX!y</vt:lpstr>
      <vt:lpstr>MATH.FMIN!y</vt:lpstr>
      <vt:lpstr>MATH.FMOD!y</vt:lpstr>
      <vt:lpstr>MATH.HYPOT!y</vt:lpstr>
      <vt:lpstr>MATH.NEXTAFTER!y</vt:lpstr>
      <vt:lpstr>MATH.POW!y</vt:lpstr>
      <vt:lpstr>MATH.REMAINDER!y</vt:lpstr>
      <vt:lpstr>MATH.FMA!z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Lewis</dc:creator>
  <cp:lastModifiedBy>Keith Lewis</cp:lastModifiedBy>
  <dcterms:created xsi:type="dcterms:W3CDTF">2021-01-10T03:45:12Z</dcterms:created>
  <dcterms:modified xsi:type="dcterms:W3CDTF">2021-01-10T03:47:49Z</dcterms:modified>
</cp:coreProperties>
</file>